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86d8eb066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7f12933fbe49c3"/>
    <x:sheet xmlns:r="http://schemas.openxmlformats.org/officeDocument/2006/relationships" name="Projeto" sheetId="2" r:id="R1f24bfa8b5944283"/>
    <x:sheet xmlns:r="http://schemas.openxmlformats.org/officeDocument/2006/relationships" name="Precificacao" sheetId="3" r:id="R174757e1e1ba4f69"/>
    <x:sheet xmlns:r="http://schemas.openxmlformats.org/officeDocument/2006/relationships" name="Config" sheetId="4" r:id="R42488a82d3354a57"/>
    <x:sheet xmlns:r="http://schemas.openxmlformats.org/officeDocument/2006/relationships" name="Custos" sheetId="5" r:id="Raa86083f32804747"/>
    <x:sheet xmlns:r="http://schemas.openxmlformats.org/officeDocument/2006/relationships" name="Percentuais" sheetId="6" r:id="R9bc92a57f62040d8"/>
    <x:sheet xmlns:r="http://schemas.openxmlformats.org/officeDocument/2006/relationships" name="Distribuicao" sheetId="7" r:id="R94eb5f684ee24ab2"/>
    <x:sheet xmlns:r="http://schemas.openxmlformats.org/officeDocument/2006/relationships" name="Escopo_Backlog" sheetId="8" r:id="R11f5e9d6b9a24ec1"/>
    <x:sheet xmlns:r="http://schemas.openxmlformats.org/officeDocument/2006/relationships" name="Cronograma" sheetId="9" r:id="Rad46154581674e89"/>
    <x:sheet xmlns:r="http://schemas.openxmlformats.org/officeDocument/2006/relationships" name="Riscos" sheetId="10" r:id="R87909f1567b74985"/>
    <x:sheet xmlns:r="http://schemas.openxmlformats.org/officeDocument/2006/relationships" name="Contrato_SLA" sheetId="11" r:id="R8ca5b4d1b9cb475e"/>
    <x:sheet xmlns:r="http://schemas.openxmlformats.org/officeDocument/2006/relationships" name="CRM_Implantacao" sheetId="12" r:id="R5ecc2a48306c4b77"/>
    <x:sheet xmlns:r="http://schemas.openxmlformats.org/officeDocument/2006/relationships" name="Listas" sheetId="13" r:id="Rf6d9631040464a3e"/>
    <x:sheet xmlns:r="http://schemas.openxmlformats.org/officeDocument/2006/relationships" name="Fontes" sheetId="14" r:id="Rd0e04b6cca9d43d1"/>
    <x:sheet xmlns:r="http://schemas.openxmlformats.org/officeDocument/2006/relationships" name="Personas_Execucao" sheetId="15" r:id="R64d38fe602804835"/>
    <x:sheet xmlns:r="http://schemas.openxmlformats.org/officeDocument/2006/relationships" name="Matriz_RACI" sheetId="16" r:id="Rb19b0b3edd77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%"/>
    <x:numFmt numFmtId="202" formatCode="R$ #,##0.00"/>
    <x:numFmt numFmtId="203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14532D"/>
      <x:name val="Carlito"/>
    </x:font>
    <x:font>
      <x:b/>
      <x:sz val="11"/>
      <x:color rgb="FF92400E"/>
      <x:name val="Carlito"/>
    </x:font>
    <x:font>
      <x:b/>
      <x:sz val="11"/>
      <x:color rgb="FF7F1D1D"/>
      <x:name val="Carlito"/>
    </x:font>
    <x:font>
      <x:b/>
      <x:sz val="11"/>
      <x:color rgb="FF0F274A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1E40A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1F3FB4"/>
      </x:patternFill>
    </x:fill>
    <x:fill>
      <x:patternFill patternType="solid">
        <x:fgColor rgb="FFE0F2FE"/>
      </x:patternFill>
    </x:fill>
    <x:fill>
      <x:patternFill patternType="solid">
        <x:fgColor rgb="FFD9EAFD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3" fillId="2" borderId="0" xfId="0" applyNumberFormat="1" applyFont="1" applyFill="1" applyBorder="1"/>
    <x:xf numFmtId="201" fontId="3" fillId="2" borderId="1" xfId="0" applyNumberFormat="1" applyFont="1" applyFill="1" applyBorder="1"/>
    <x:xf numFmtId="202" fontId="3" fillId="2" borderId="0" xfId="0" applyNumberFormat="1" applyFont="1" applyFill="1" applyBorder="1"/>
    <x:xf numFmtId="202" fontId="3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3" fillId="2" borderId="1" xfId="0" applyNumberFormat="1" applyFont="1" applyFill="1" applyBorder="1" applyAlignment="1">
      <x:alignment wrapText="1"/>
    </x:xf>
    <x:xf numFmtId="202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left" vertical="center" wrapText="1"/>
    </x:xf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9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3a898fab34437" /><Relationship Type="http://schemas.openxmlformats.org/officeDocument/2006/relationships/theme" Target="/xl/theme/theme1.xml" Id="R520c87a489f343e9" /><Relationship Type="http://schemas.openxmlformats.org/officeDocument/2006/relationships/sharedStrings" Target="/xl/sharedStrings.xml" Id="R93b16130e8094be4" /><Relationship Type="http://schemas.openxmlformats.org/officeDocument/2006/relationships/worksheet" Target="/xl/worksheets/sheet1.xml" Id="Re87f12933fbe49c3" /><Relationship Type="http://schemas.openxmlformats.org/officeDocument/2006/relationships/worksheet" Target="/xl/worksheets/sheet2.xml" Id="R1f24bfa8b5944283" /><Relationship Type="http://schemas.openxmlformats.org/officeDocument/2006/relationships/worksheet" Target="/xl/worksheets/sheet3.xml" Id="R174757e1e1ba4f69" /><Relationship Type="http://schemas.openxmlformats.org/officeDocument/2006/relationships/worksheet" Target="/xl/worksheets/sheet4.xml" Id="R42488a82d3354a57" /><Relationship Type="http://schemas.openxmlformats.org/officeDocument/2006/relationships/worksheet" Target="/xl/worksheets/sheet5.xml" Id="Raa86083f32804747" /><Relationship Type="http://schemas.openxmlformats.org/officeDocument/2006/relationships/worksheet" Target="/xl/worksheets/sheet6.xml" Id="R9bc92a57f62040d8" /><Relationship Type="http://schemas.openxmlformats.org/officeDocument/2006/relationships/worksheet" Target="/xl/worksheets/sheet7.xml" Id="R94eb5f684ee24ab2" /><Relationship Type="http://schemas.openxmlformats.org/officeDocument/2006/relationships/worksheet" Target="/xl/worksheets/sheet8.xml" Id="R11f5e9d6b9a24ec1" /><Relationship Type="http://schemas.openxmlformats.org/officeDocument/2006/relationships/worksheet" Target="/xl/worksheets/sheet9.xml" Id="Rad46154581674e89" /><Relationship Type="http://schemas.openxmlformats.org/officeDocument/2006/relationships/worksheet" Target="/xl/worksheets/sheet10.xml" Id="R87909f1567b74985" /><Relationship Type="http://schemas.openxmlformats.org/officeDocument/2006/relationships/worksheet" Target="/xl/worksheets/sheet11.xml" Id="R8ca5b4d1b9cb475e" /><Relationship Type="http://schemas.openxmlformats.org/officeDocument/2006/relationships/worksheet" Target="/xl/worksheets/sheet12.xml" Id="R5ecc2a48306c4b77" /><Relationship Type="http://schemas.openxmlformats.org/officeDocument/2006/relationships/worksheet" Target="/xl/worksheets/sheet13.xml" Id="Rf6d9631040464a3e" /><Relationship Type="http://schemas.openxmlformats.org/officeDocument/2006/relationships/worksheet" Target="/xl/worksheets/sheet14.xml" Id="Rd0e04b6cca9d43d1" /><Relationship Type="http://schemas.openxmlformats.org/officeDocument/2006/relationships/worksheet" Target="/xl/worksheets/sheet15.xml" Id="R64d38fe602804835" /><Relationship Type="http://schemas.openxmlformats.org/officeDocument/2006/relationships/worksheet" Target="/xl/worksheets/sheet16.xml" Id="Rb19b0b3edd774d71" /></Relationships>
</file>

<file path=xl/tables/table1.xml><?xml version="1.0" encoding="utf-8"?>
<x:table xmlns:x="http://schemas.openxmlformats.org/spreadsheetml/2006/main" id="1" name="tbl_precificacao" displayName="tbl_precificacao" ref="A4:N14" headerRowCount="1">
  <x:tableColumns count="14">
    <x:tableColumn id="1" name="Proposta"/>
    <x:tableColumn id="2" name="Modelo comercial"/>
    <x:tableColumn id="3" name="Setup base"/>
    <x:tableColumn id="4" name="Sinal"/>
    <x:tableColumn id="5" name="Entrega"/>
    <x:tableColumn id="6" name="Intermediário"/>
    <x:tableColumn id="7" name="Mensalidade"/>
    <x:tableColumn id="8" name="Meses"/>
    <x:tableColumn id="9" name="App/IP passa?"/>
    <x:tableColumn id="10" name="Total informado"/>
    <x:tableColumn id="11" name="Total calculado"/>
    <x:tableColumn id="12" name="Gap"/>
    <x:tableColumn id="13" name="Recomendação"/>
    <x:tableColumn id="14" name="Chave"/>
  </x:tableColumns>
  <x:tableStyleInfo name="TableStyleMedium2" showRowStripes="1"/>
</x:table>
</file>

<file path=xl/tables/table2.xml><?xml version="1.0" encoding="utf-8"?>
<x:table xmlns:x="http://schemas.openxmlformats.org/spreadsheetml/2006/main" id="2" name="tbl_custos" displayName="tbl_custos" ref="A4:I18" headerRowCount="1">
  <x:tableColumns count="9">
    <x:tableColumn id="1" name="Categoria"/>
    <x:tableColumn id="2" name="Proposta"/>
    <x:tableColumn id="3" name="Item"/>
    <x:tableColumn id="4" name="Responsável/Papel"/>
    <x:tableColumn id="5" name="Qtd/Horas"/>
    <x:tableColumn id="6" name="Unidade"/>
    <x:tableColumn id="7" name="Custo unitário"/>
    <x:tableColumn id="8" name="Custo total"/>
    <x:tableColumn id="9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bl_percentuais" displayName="tbl_percentuais" ref="A4:J39" headerRowCount="1">
  <x:tableColumns count="10">
    <x:tableColumn id="1" name="Modelo comercial"/>
    <x:tableColumn id="2" name="Pessoa/Empresa"/>
    <x:tableColumn id="3" name="Papel"/>
    <x:tableColumn id="4" name="% Setup"/>
    <x:tableColumn id="5" name="Valor Setup"/>
    <x:tableColumn id="6" name="% Recorrência"/>
    <x:tableColumn id="7" name="Valor Recorrência"/>
    <x:tableColumn id="8" name="% Pool Líquido"/>
    <x:tableColumn id="9" name="Valor Pool"/>
    <x:tableColumn id="10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bl_escopo" displayName="tbl_escopo" ref="A4:J14" headerRowCount="1">
  <x:tableColumns count="10">
    <x:tableColumn id="1" name="Módulo"/>
    <x:tableColumn id="2" name="Item"/>
    <x:tableColumn id="3" name="Fase/Proposta"/>
    <x:tableColumn id="4" name="Prioridade"/>
    <x:tableColumn id="5" name="Esforço"/>
    <x:tableColumn id="6" name="Responsável"/>
    <x:tableColumn id="7" name="Status"/>
    <x:tableColumn id="8" name="Critério de aceite"/>
    <x:tableColumn id="9" name="Risco"/>
    <x:tableColumn id="10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bl_riscos" displayName="tbl_riscos" ref="A4:I12" headerRowCount="1">
  <x:tableColumns count="9">
    <x:tableColumn id="1" name="#"/>
    <x:tableColumn id="2" name="Risco"/>
    <x:tableColumn id="3" name="Categoria"/>
    <x:tableColumn id="4" name="Prob."/>
    <x:tableColumn id="5" name="Impacto"/>
    <x:tableColumn id="6" name="Severidade"/>
    <x:tableColumn id="7" name="Dono"/>
    <x:tableColumn id="8" name="Mitigação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5e206387494b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2db0d3fd4b34a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4e547510ef844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f7eb3e4e52045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5bc314228dc240f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2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34" hidden="0" customWidth="1"/>
  </x:cols>
  <x:sheetData>
    <x:row r="1" ht="30" customHeight="1">
      <x:c r="A1" s="68" t="str">
        <x:v>UZZAI — TEMPLATE GERAL DE PROJETOS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 ht="24" customHeight="1">
      <x:c r="A2" s="69" t="str">
        <x:v>Desenvolvimento • Comercial • Empresa • Remuneração • Escopo • Riscos • Contrato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23" customHeight="1">
      <x:c r="A4" s="70" t="str">
        <x:v>1) Seleção do projeto e modelo</x:v>
      </x:c>
      <x:c r="B4" s="30"/>
      <x:c r="C4" s="30"/>
      <x:c r="D4" s="70" t="str">
        <x:v>2) Resumo financeiro</x:v>
      </x:c>
      <x:c r="E4" s="30"/>
      <x:c r="F4" s="70" t="str">
        <x:v>3) Margem e pool</x:v>
      </x:c>
      <x:c r="G4" s="30"/>
      <x:c r="H4" s="70" t="str">
        <x:v>4) Auditoria automática</x:v>
      </x:c>
      <x:c r="I4" s="30"/>
      <x:c r="J4" s="30"/>
    </x:row>
    <x:row r="5">
      <x:c r="A5" s="71" t="str">
        <x:v>Projeto</x:v>
      </x:c>
      <x:c r="B5" s="72" t="str">
        <x:f>Projeto!B5</x:f>
        <x:v>Aliança Log — MVP Completo / Proposta B</x:v>
      </x:c>
      <x:c r="C5" s="30" t="str">
        <x:v>Puxado da aba Projeto</x:v>
      </x:c>
      <x:c r="D5" s="73" t="str">
        <x:v>Sinal</x:v>
      </x:c>
      <x:c r="E5" s="74" t="n">
        <x:f>SUMIFS(Precificacao!$D$5:$D$20,Precificacao!$A$5:$A$20,$B$7,Precificacao!$B$5:$B$20,$B$8)</x:f>
        <x:v>4500</x:v>
      </x:c>
      <x:c r="F5" s="75" t="str">
        <x:v>Receita total</x:v>
      </x:c>
      <x:c r="G5" s="74" t="n">
        <x:f>E11</x:f>
        <x:v>58500</x:v>
      </x:c>
      <x:c r="H5" s="76" t="str">
        <x:v>% Setup distribuído</x:v>
      </x:c>
      <x:c r="I5" s="77" t="n">
        <x:f>SUMIFS(Percentuais!$D$5:$D$80,Percentuais!$A$5:$A$80,$B$8)</x:f>
        <x:v>1</x:v>
      </x:c>
      <x:c r="J5" s="30" t="str">
        <x:v>Meta: 100%</x:v>
      </x:c>
    </x:row>
    <x:row r="6">
      <x:c r="A6" s="71" t="str">
        <x:v>Cliente</x:v>
      </x:c>
      <x:c r="B6" s="72" t="str">
        <x:f>Projeto!B6</x:f>
        <x:v>Rotta Logística</x:v>
      </x:c>
      <x:c r="C6" s="30" t="str">
        <x:v>Puxado da aba Projeto</x:v>
      </x:c>
      <x:c r="D6" s="73" t="str">
        <x:v>Entrega</x:v>
      </x:c>
      <x:c r="E6" s="74" t="n">
        <x:f>SUMIFS(Precificacao!$E$5:$E$20,Precificacao!$A$5:$A$20,$B$7,Precificacao!$B$5:$B$20,$B$8)</x:f>
        <x:v>0</x:v>
      </x:c>
      <x:c r="F6" s="75" t="str">
        <x:v>Impostos</x:v>
      </x:c>
      <x:c r="G6" s="74" t="n">
        <x:f>G5*Config!$B$6</x:f>
        <x:v>3510</x:v>
      </x:c>
      <x:c r="H6" s="76" t="str">
        <x:v>% MRR distribuído</x:v>
      </x:c>
      <x:c r="I6" s="77" t="n">
        <x:f>SUMIFS(Percentuais!$F$5:$F$80,Percentuais!$A$5:$A$80,$B$8)</x:f>
        <x:v>1</x:v>
      </x:c>
      <x:c r="J6" s="30" t="str">
        <x:v>Meta: 100%</x:v>
      </x:c>
    </x:row>
    <x:row r="7">
      <x:c r="A7" s="71" t="str">
        <x:v>Proposta selecionada</x:v>
      </x:c>
      <x:c r="B7" s="112" t="str">
        <x:v>B - MVP Completo</x:v>
      </x:c>
      <x:c r="C7" s="30" t="str">
        <x:v>Dropdown editável</x:v>
      </x:c>
      <x:c r="D7" s="73" t="str">
        <x:v>Intermediário</x:v>
      </x:c>
      <x:c r="E7" s="74" t="n">
        <x:f>SUMIFS(Precificacao!$F$5:$F$20,Precificacao!$A$5:$A$20,$B$7,Precificacao!$B$5:$B$20,$B$8)</x:f>
        <x:v>0</x:v>
      </x:c>
      <x:c r="F7" s="75" t="str">
        <x:v>Custos diretos</x:v>
      </x:c>
      <x:c r="G7" s="74" t="n">
        <x:f>SUMIFS(Custos!$H$5:$H$60,Custos!$B$5:$B$60,$B$7)</x:f>
        <x:v>22740</x:v>
      </x:c>
      <x:c r="H7" s="76" t="str">
        <x:v>% Pool distribuído</x:v>
      </x:c>
      <x:c r="I7" s="77" t="n">
        <x:f>SUMIFS(Percentuais!$H$5:$H$80,Percentuais!$A$5:$A$80,$B$8)</x:f>
        <x:v>1</x:v>
      </x:c>
      <x:c r="J7" s="30" t="str">
        <x:v>Meta: 100%</x:v>
      </x:c>
    </x:row>
    <x:row r="8">
      <x:c r="A8" s="71" t="str">
        <x:v>Modelo comercial</x:v>
      </x:c>
      <x:c r="B8" s="112" t="str">
        <x:v>Opção 2 - Apenas Recorrência</x:v>
      </x:c>
      <x:c r="C8" s="30" t="str">
        <x:v>Dropdown editável</x:v>
      </x:c>
      <x:c r="D8" s="73" t="str">
        <x:v>Mensalidade</x:v>
      </x:c>
      <x:c r="E8" s="74" t="n">
        <x:f>SUMIFS(Precificacao!$G$5:$G$20,Precificacao!$A$5:$A$20,$B$7,Precificacao!$B$5:$B$20,$B$8)</x:f>
        <x:v>1500</x:v>
      </x:c>
      <x:c r="F8" s="75" t="str">
        <x:v>Custos recorrentes</x:v>
      </x:c>
      <x:c r="G8" s="74" t="n">
        <x:f>E9*Config!$B$11</x:f>
        <x:v>14400</x:v>
      </x:c>
      <x:c r="H8" s="76" t="str">
        <x:v>Gap total informado</x:v>
      </x:c>
      <x:c r="I8" s="74" t="n">
        <x:f>SUMIFS(Precificacao!$L$5:$L$20,Precificacao!$A$5:$A$20,$B$7,Precificacao!$B$5:$B$20,$B$8)</x:f>
        <x:v>0</x:v>
      </x:c>
      <x:c r="J8" s="30" t="str">
        <x:v>Deve ser R$ 0</x:v>
      </x:c>
    </x:row>
    <x:row r="9">
      <x:c r="A9" s="71" t="str">
        <x:v>Horizonte análise (meses)</x:v>
      </x:c>
      <x:c r="B9" s="72" t="n">
        <x:f>Projeto!B17</x:f>
        <x:v>36</x:v>
      </x:c>
      <x:c r="C9" s="30" t="str">
        <x:v>Usado se o modelo tiver meses = 0</x:v>
      </x:c>
      <x:c r="D9" s="73" t="str">
        <x:v>Meses</x:v>
      </x:c>
      <x:c r="E9" s="78" t="n">
        <x:f>IF(SUMIFS(Precificacao!$H$5:$H$20,Precificacao!$A$5:$A$20,$B$7,Precificacao!$B$5:$B$20,$B$8)=0,$B$9,SUMIFS(Precificacao!$H$5:$H$20,Precificacao!$A$5:$A$20,$B$7,Precificacao!$B$5:$B$20,$B$8))</x:f>
        <x:v>36</x:v>
      </x:c>
      <x:c r="F9" s="75" t="str">
        <x:v>Pool líquido</x:v>
      </x:c>
      <x:c r="G9" s="74" t="n">
        <x:f>G5-G6-G7-G8</x:f>
        <x:v>17850</x:v>
      </x:c>
      <x:c r="H9" s="76" t="str">
        <x:v>Status geral</x:v>
      </x:c>
      <x:c r="I9" s="30" t="str">
        <x:f>IF(OR(ABS(I5-1)&gt;0.001,ABS(I6-1)&gt;0.001,ABS(I7-1)&gt;0.001,ABS(I8)&gt;1),"⚠️ Revisar","✅ OK")</x:f>
        <x:v>✅ OK</x:v>
      </x:c>
      <x:c r="J9" s="30" t="str">
        <x:v>Revisar se aparecer alerta</x:v>
      </x:c>
    </x:row>
    <x:row r="10">
      <x:c r="A10" s="71" t="str">
        <x:v>Status</x:v>
      </x:c>
      <x:c r="B10" s="72" t="str">
        <x:f>Projeto!B8</x:f>
        <x:v>Proposta</x:v>
      </x:c>
      <x:c r="C10" s="30" t="str">
        <x:v>Puxado da aba Projeto</x:v>
      </x:c>
      <x:c r="D10" s="73" t="str">
        <x:v>Setup total</x:v>
      </x:c>
      <x:c r="E10" s="74" t="n">
        <x:f>SUM(E5:E7)</x:f>
        <x:v>4500</x:v>
      </x:c>
      <x:c r="F10" s="75" t="str">
        <x:v>Margem líquida</x:v>
      </x:c>
      <x:c r="G10" s="77" t="n">
        <x:f>IFERROR(G9/G5,0)</x:f>
        <x:v>0.30512820512820515</x:v>
      </x:c>
      <x:c r="H10" s="76" t="str">
        <x:v>Próxima ação</x:v>
      </x:c>
      <x:c r="I10" s="30" t="str">
        <x:v>Fechar contrato, prazo mínimo e IP</x:v>
      </x:c>
      <x:c r="J10" s="30" t="str">
        <x:v>Antes de kickoff: validar A em produção, dados reais e cláusulas de recorrência</x:v>
      </x:c>
    </x:row>
    <x:row r="11">
      <x:c r="A11" s="30"/>
      <x:c r="B11" s="30"/>
      <x:c r="C11" s="30"/>
      <x:c r="D11" s="73" t="str">
        <x:v>Total contrato</x:v>
      </x:c>
      <x:c r="E11" s="74" t="n">
        <x:f>E10+E8*E9</x:f>
        <x:v>58500</x:v>
      </x:c>
      <x:c r="F11" s="75" t="str">
        <x:v>Alerta margem</x:v>
      </x:c>
      <x:c r="G11" s="30" t="str">
        <x:f>IF(G10&lt;Config!$B$8,"⚠️ Abaixo da meta","✅ OK")</x:f>
        <x:v>✅ OK</x:v>
      </x:c>
      <x:c r="H11" s="30"/>
      <x:c r="I11" s="30"/>
      <x:c r="J11" s="30"/>
    </x:row>
    <x:row r="12">
      <x:c r="A12" s="30"/>
      <x:c r="B12" s="30"/>
      <x:c r="C12" s="30"/>
      <x:c r="D12" s="73" t="str">
        <x:v>IP / App passa?</x:v>
      </x:c>
      <x:c r="E12" s="30" t="str">
        <x:f>IFERROR(INDEX(Precificacao!$I$5:$I$20,MATCH($B$7&amp;$B$8,Precificacao!$N$5:$N$20,0)),"Definir")</x:f>
        <x:v>A negociar / prazo mínimo em contrato</x:v>
      </x:c>
      <x:c r="F12" s="30"/>
      <x:c r="G12" s="30"/>
      <x:c r="H12" s="30"/>
      <x:c r="I12" s="30"/>
      <x:c r="J12" s="30"/>
    </x:row>
    <x:row r="13" ht="23" customHeight="1">
      <x:c r="A13" s="70" t="str">
        <x:v>5) Como usar</x:v>
      </x:c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66" t="str">
        <x:v>1. Preencha a aba Projeto. 2. Ajuste a aba Precificacao. 3. Ajuste custos e percentuais. 4. Veja Dashboard e Distribuicao. 5. Use Escopo_Backlog, Cronograma, Riscos e Contrato_SLA para acompanhar execução e governança.</x:v>
      </x:c>
      <x:c r="B14" s="66"/>
      <x:c r="C14" s="66"/>
      <x:c r="D14" s="66"/>
      <x:c r="E14" s="66"/>
      <x:c r="F14" s="66"/>
      <x:c r="G14" s="66"/>
      <x:c r="H14" s="66"/>
      <x:c r="I14" s="66"/>
      <x:c r="J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</x:row>
  </x:sheetData>
  <x:mergeCells>
    <x:mergeCell ref="A1:J1"/>
    <x:mergeCell ref="A2:J2"/>
    <x:mergeCell ref="A4:C4"/>
    <x:mergeCell ref="D4:E4"/>
    <x:mergeCell ref="F4:G4"/>
    <x:mergeCell ref="H4:J4"/>
    <x:mergeCell ref="A13:J13"/>
  </x:mergeCells>
  <x:conditionalFormatting sqref="G11:G11">
    <x:cfRule type="expression" dxfId="1" priority="1">
      <x:formula>G11="⚠️ Abaixo da meta"</x:formula>
    </x:cfRule>
  </x:conditionalFormatting>
  <x:conditionalFormatting sqref="I9:I9">
    <x:cfRule type="expression" dxfId="2" priority="2">
      <x:formula>I9="⚠️ Revisar"</x:formula>
    </x:cfRule>
  </x:conditionalFormatting>
  <x:dataValidations count="2">
    <x:dataValidation type="list" sqref="B7">
      <x:formula1>Listas!$A$5:$A$8</x:formula1>
    </x:dataValidation>
    <x:dataValidation type="list" sqref="B8">
      <x:formula1>Listas!$B$5:$B$9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52" hidden="0" customWidth="1"/>
  </x:cols>
  <x:sheetData>
    <x:row r="1" ht="30" customHeight="1">
      <x:c r="A1" s="68" t="str">
        <x:v>PROJETO — CADASTRO GERAL</x:v>
      </x:c>
      <x:c r="B1" s="68"/>
      <x:c r="C1" s="68"/>
      <x:c r="D1" s="68"/>
      <x:c r="E1" s="68"/>
      <x:c r="F1" s="68"/>
      <x:c r="G1" s="68"/>
      <x:c r="H1" s="68"/>
      <x:c r="I1" s="30"/>
      <x:c r="J1" s="30"/>
      <x:c r="K1" s="30"/>
    </x:row>
    <x:row r="2" ht="24" customHeight="1">
      <x:c r="A2" s="69" t="str">
        <x:v>Preencha uma vez; as demais abas usam estas premissas</x:v>
      </x:c>
      <x:c r="B2" s="69"/>
      <x:c r="C2" s="69"/>
      <x:c r="D2" s="69"/>
      <x:c r="E2" s="69"/>
      <x:c r="F2" s="69"/>
      <x:c r="G2" s="69"/>
      <x:c r="H2" s="69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Campo</x:v>
      </x:c>
      <x:c r="B4" s="105" t="str">
        <x:v>Valor</x:v>
      </x:c>
      <x:c r="C4" s="105" t="str">
        <x:v>Como usar</x:v>
      </x:c>
      <x:c r="D4" s="105" t="str">
        <x:v>Observação</x:v>
      </x:c>
      <x:c r="E4" s="30"/>
      <x:c r="F4" s="30"/>
      <x:c r="G4" s="30"/>
      <x:c r="H4" s="30"/>
      <x:c r="I4" s="30"/>
      <x:c r="J4" s="30"/>
      <x:c r="K4" s="30"/>
    </x:row>
    <x:row r="5">
      <x:c r="A5" s="106" t="str">
        <x:v>Nome do projeto</x:v>
      </x:c>
      <x:c r="B5" s="106" t="str">
        <x:v>Aliança Log — MVP Completo / Proposta B</x:v>
      </x:c>
      <x:c r="C5" s="106" t="str">
        <x:v>Nome comercial/interno</x:v>
      </x:c>
      <x:c r="D5" s="106" t="str">
        <x:v>Sistema de gestão de entregas em tempo real</x:v>
      </x:c>
      <x:c r="E5" s="30"/>
      <x:c r="F5" s="30"/>
      <x:c r="G5" s="30"/>
      <x:c r="H5" s="30"/>
      <x:c r="I5" s="30"/>
      <x:c r="J5" s="30"/>
      <x:c r="K5" s="30"/>
    </x:row>
    <x:row r="6">
      <x:c r="A6" s="106" t="str">
        <x:v>Cliente</x:v>
      </x:c>
      <x:c r="B6" s="106" t="str">
        <x:v>Rotta Logística</x:v>
      </x:c>
      <x:c r="C6" s="106" t="str">
        <x:v>Empresa/lead</x:v>
      </x:c>
      <x:c r="D6" s="106" t="str">
        <x:v>Operação last-mile Serra Gaúcha</x:v>
      </x:c>
      <x:c r="E6" s="30"/>
      <x:c r="F6" s="30"/>
      <x:c r="G6" s="30"/>
      <x:c r="H6" s="30"/>
      <x:c r="I6" s="30"/>
      <x:c r="J6" s="30"/>
      <x:c r="K6" s="30"/>
    </x:row>
    <x:row r="7">
      <x:c r="A7" s="106" t="str">
        <x:v>Contato principal</x:v>
      </x:c>
      <x:c r="B7" s="106" t="str">
        <x:v>Matheus Rotta</x:v>
      </x:c>
      <x:c r="C7" s="106" t="str">
        <x:v>Decisor ou sponsor</x:v>
      </x:c>
      <x:c r="D7" s="106" t="str">
        <x:v>Enviar dados reais, validar piloto e rollout</x:v>
      </x:c>
      <x:c r="E7" s="30"/>
      <x:c r="F7" s="30"/>
      <x:c r="G7" s="30"/>
      <x:c r="H7" s="30"/>
      <x:c r="I7" s="30"/>
      <x:c r="J7" s="30"/>
      <x:c r="K7" s="30"/>
    </x:row>
    <x:row r="8">
      <x:c r="A8" s="106" t="str">
        <x:v>Status</x:v>
      </x:c>
      <x:c r="B8" s="107" t="str">
        <x:v>Proposta</x:v>
      </x:c>
      <x:c r="C8" s="106" t="str">
        <x:v>Dropdown</x:v>
      </x:c>
      <x:c r="D8" s="106" t="str">
        <x:v>Validar contrato e modalidade antes de iniciar</x:v>
      </x:c>
      <x:c r="E8" s="30"/>
      <x:c r="F8" s="30"/>
      <x:c r="G8" s="30"/>
      <x:c r="H8" s="30"/>
      <x:c r="I8" s="30"/>
      <x:c r="J8" s="30"/>
      <x:c r="K8" s="30"/>
    </x:row>
    <x:row r="9">
      <x:c r="A9" s="106" t="str">
        <x:v>Responsável comercial/account</x:v>
      </x:c>
      <x:c r="B9" s="107" t="str">
        <x:v>Vítor Pirolli</x:v>
      </x:c>
      <x:c r="C9" s="106" t="str">
        <x:v>Quem vende/acompanha</x:v>
      </x:c>
      <x:c r="D9" s="106" t="str">
        <x:v>Comercial, relacionamento, implantação e expansão</x:v>
      </x:c>
      <x:c r="E9" s="30"/>
      <x:c r="F9" s="30"/>
      <x:c r="G9" s="30"/>
      <x:c r="H9" s="30"/>
      <x:c r="I9" s="30"/>
      <x:c r="J9" s="30"/>
      <x:c r="K9" s="30"/>
    </x:row>
    <x:row r="10">
      <x:c r="A10" s="106" t="str">
        <x:v>Responsável técnico</x:v>
      </x:c>
      <x:c r="B10" s="106" t="str">
        <x:v>Luis Fernando Boff + Pedro Vitor Pagliarin</x:v>
      </x:c>
      <x:c r="C10" s="106" t="str">
        <x:v>Quem responde pela execução</x:v>
      </x:c>
      <x:c r="D10" s="106" t="str">
        <x:v>Luis: backend/infra; PV: arquitetura, escopo e riscos</x:v>
      </x:c>
      <x:c r="E10" s="30"/>
      <x:c r="F10" s="30"/>
      <x:c r="G10" s="30"/>
      <x:c r="H10" s="30"/>
      <x:c r="I10" s="30"/>
      <x:c r="J10" s="30"/>
      <x:c r="K10" s="30"/>
    </x:row>
    <x:row r="11">
      <x:c r="A11" s="106" t="str">
        <x:v>Data de início prevista</x:v>
      </x:c>
      <x:c r="B11" s="107" t="n">
        <x:v>46204</x:v>
      </x:c>
      <x:c r="C11" s="106" t="str">
        <x:v>Data planejada</x:v>
      </x:c>
      <x:c r="D11" s="106" t="str">
        <x:v>Assumindo contrato e sinal no início de julho</x:v>
      </x:c>
      <x:c r="E11" s="30"/>
      <x:c r="F11" s="30"/>
      <x:c r="G11" s="30"/>
      <x:c r="H11" s="30"/>
      <x:c r="I11" s="30"/>
      <x:c r="J11" s="30"/>
      <x:c r="K11" s="30"/>
    </x:row>
    <x:row r="12">
      <x:c r="A12" s="106" t="str">
        <x:v>Data alvo de go-live</x:v>
      </x:c>
      <x:c r="B12" s="107" t="n">
        <x:v>46295</x:v>
      </x:c>
      <x:c r="C12" s="106" t="str">
        <x:v>Data planejada</x:v>
      </x:c>
      <x:c r="D12" s="106" t="str">
        <x:v>Proposta B: 2 a 3 meses, pressupondo Proposta A validada</x:v>
      </x:c>
      <x:c r="E12" s="30"/>
      <x:c r="F12" s="30"/>
      <x:c r="G12" s="30"/>
      <x:c r="H12" s="30"/>
      <x:c r="I12" s="30"/>
      <x:c r="J12" s="30"/>
      <x:c r="K12" s="30"/>
    </x:row>
    <x:row r="13">
      <x:c r="A13" s="106" t="str">
        <x:v>Dor principal</x:v>
      </x:c>
      <x:c r="B13" s="106" t="str">
        <x:v>Controle dos canhotos em tempo real, rastreabilidade das entregas e redução de WhatsApp/planilha/canhoto físico.</x:v>
      </x:c>
      <x:c r="C13" s="106" t="str">
        <x:v>Problema central</x:v>
      </x:c>
      <x:c r="D13" s="106" t="str">
        <x:v>Dor confirmada pelo cliente: canhotos em tempo real</x:v>
      </x:c>
      <x:c r="E13" s="30"/>
      <x:c r="F13" s="30"/>
      <x:c r="G13" s="30"/>
      <x:c r="H13" s="30"/>
      <x:c r="I13" s="30"/>
      <x:c r="J13" s="30"/>
      <x:c r="K13" s="30"/>
    </x:row>
    <x:row r="14">
      <x:c r="A14" s="106" t="str">
        <x:v>Objetivo do MVP</x:v>
      </x:c>
      <x:c r="B14" s="106" t="str">
        <x:v>Entregar uma plataforma web/PWA com gerência, motorista e cliente final conectados em tempo real, incluindo offline, importação Excel, roteirização, KPIs, financeiro, dashboards, filtros e exportações.</x:v>
      </x:c>
      <x:c r="C14" s="106" t="str">
        <x:v>Resultado esperado</x:v>
      </x:c>
      <x:c r="D14" s="106" t="str">
        <x:v>Versão B completa = A + módulos gerenciais/financeiros/visuais</x:v>
      </x:c>
      <x:c r="E14" s="30"/>
      <x:c r="F14" s="30"/>
      <x:c r="G14" s="30"/>
      <x:c r="H14" s="30"/>
      <x:c r="I14" s="30"/>
      <x:c r="J14" s="30"/>
      <x:c r="K14" s="30"/>
    </x:row>
    <x:row r="15">
      <x:c r="A15" s="106" t="str">
        <x:v>Stack / tecnologia</x:v>
      </x:c>
      <x:c r="B15" s="106" t="str">
        <x:v>Next.js + TypeScript + Supabase + Vercel + PWA + IndexedDB + Service Worker + Google Maps APIs + xlsx + dashboards.</x:v>
      </x:c>
      <x:c r="C15" s="106" t="str">
        <x:v>Stack proposta</x:v>
      </x:c>
      <x:c r="D15" s="106" t="str">
        <x:v>Web responsiva sem app nas lojas</x:v>
      </x:c>
      <x:c r="E15" s="30"/>
      <x:c r="F15" s="30"/>
      <x:c r="G15" s="30"/>
      <x:c r="H15" s="30"/>
      <x:c r="I15" s="30"/>
      <x:c r="J15" s="30"/>
      <x:c r="K15" s="30"/>
    </x:row>
    <x:row r="16">
      <x:c r="A16" s="106" t="str">
        <x:v>Tipo de projeto</x:v>
      </x:c>
      <x:c r="B16" s="106" t="str">
        <x:v>Desenvolvimento de Software / SaaS Logístico</x:v>
      </x:c>
      <x:c r="C16" s="106" t="str">
        <x:v>Categoria</x:v>
      </x:c>
      <x:c r="D16" s="106" t="str">
        <x:v>PWA operacional + dashboards + integrações de mapa</x:v>
      </x:c>
      <x:c r="E16" s="30"/>
      <x:c r="F16" s="30"/>
      <x:c r="G16" s="30"/>
      <x:c r="H16" s="30"/>
      <x:c r="I16" s="30"/>
      <x:c r="J16" s="30"/>
      <x:c r="K16" s="30"/>
    </x:row>
    <x:row r="17">
      <x:c r="A17" s="106" t="str">
        <x:v>Horizonte de análise padrão (meses)</x:v>
      </x:c>
      <x:c r="B17" s="106" t="n">
        <x:v>36</x:v>
      </x:c>
      <x:c r="C17" s="106" t="str">
        <x:v>Usado quando modelo não tem prazo mínimo</x:v>
      </x:c>
      <x:c r="D17" s="106" t="str">
        <x:v>Assumido para simular a modalidade recorrente; ajustar se o contrato definir outro prazo</x:v>
      </x:c>
      <x:c r="E17" s="30"/>
      <x:c r="F17" s="30"/>
      <x:c r="G17" s="30"/>
      <x:c r="H17" s="30"/>
      <x:c r="I17" s="30"/>
      <x:c r="J17" s="30"/>
      <x:c r="K17" s="30"/>
    </x:row>
    <x:row r="18">
      <x:c r="A18" s="106" t="str">
        <x:v>Observações executivas</x:v>
      </x:c>
      <x:c r="B18" s="106" t="str">
        <x:v>Assumido: Proposta B, Modalidade 2 — Apenas Recorrência: sinal R$ 4.500 + mensalidade R$ 1.500/mês. Contrato deve formalizar prazo mínimo, propriedade do código-fonte, SLA, LGPD e limites de suporte.</x:v>
      </x:c>
      <x:c r="C18" s="106" t="str">
        <x:v>Contexto estratégico</x:v>
      </x:c>
      <x:c r="D18" s="106" t="str">
        <x:v>Se a Proposta A ainda não estiver validada, tratar como pré-condição/risco</x:v>
      </x:c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H1"/>
    <x:mergeCell ref="A2:H2"/>
  </x:mergeCells>
  <x:dataValidations count="1">
    <x:dataValidation type="list" sqref="B5">
      <x:formula1>Listas!$C$5:$C$12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8" max="8" width="10" hidden="0" customWidth="1"/>
    <x:col min="9" max="9" width="34" hidden="0" customWidth="1"/>
    <x:col min="10" max="10" width="17" hidden="0" customWidth="1"/>
    <x:col min="11" max="11" width="17" hidden="0" customWidth="1"/>
    <x:col min="12" max="12" width="14" hidden="0" customWidth="1"/>
    <x:col min="13" max="13" width="58" hidden="0" customWidth="1"/>
    <x:col min="14" max="14" width="26" hidden="0" customWidth="1"/>
  </x:cols>
  <x:sheetData>
    <x:row r="1" ht="30" customHeight="1">
      <x:c r="A1" s="68" t="str">
        <x:v>PRECIFICAÇÃO E MODELOS COMERCIAIS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5"/>
      <x:c r="M1" s="5"/>
      <x:c r="N1" s="5"/>
    </x:row>
    <x:row r="2" ht="24" customHeight="1">
      <x:c r="A2" s="69" t="str">
        <x:v>Edite propostas, modelos, parcelas, recorrência, prazo e total informado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13"/>
      <x:c r="M2" s="13"/>
      <x:c r="N2" s="13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Proposta</x:v>
      </x:c>
      <x:c r="B4" s="105" t="str">
        <x:v>Modelo comercial</x:v>
      </x:c>
      <x:c r="C4" s="105" t="str">
        <x:v>Setup base</x:v>
      </x:c>
      <x:c r="D4" s="105" t="str">
        <x:v>Sinal</x:v>
      </x:c>
      <x:c r="E4" s="105" t="str">
        <x:v>Entrega</x:v>
      </x:c>
      <x:c r="F4" s="105" t="str">
        <x:v>Intermediário</x:v>
      </x:c>
      <x:c r="G4" s="105" t="str">
        <x:v>Mensalidade</x:v>
      </x:c>
      <x:c r="H4" s="105" t="str">
        <x:v>Meses</x:v>
      </x:c>
      <x:c r="I4" s="105" t="str">
        <x:v>App/IP passa?</x:v>
      </x:c>
      <x:c r="J4" s="105" t="str">
        <x:v>Total informado</x:v>
      </x:c>
      <x:c r="K4" s="105" t="str">
        <x:v>Total calculado</x:v>
      </x:c>
      <x:c r="L4" s="105" t="str">
        <x:v>Gap</x:v>
      </x:c>
      <x:c r="M4" s="105" t="str">
        <x:v>Recomendação</x:v>
      </x:c>
      <x:c r="N4" s="105" t="str">
        <x:v>Chave</x:v>
      </x:c>
    </x:row>
    <x:row r="5">
      <x:c r="A5" s="106" t="str">
        <x:v>A - MVP Enxuto</x:v>
      </x:c>
      <x:c r="B5" s="106" t="str">
        <x:v>Opção 1 - Setup + Recorrência</x:v>
      </x:c>
      <x:c r="C5" s="109" t="n">
        <x:v>10000</x:v>
      </x:c>
      <x:c r="D5" s="109" t="n">
        <x:v>5000</x:v>
      </x:c>
      <x:c r="E5" s="109" t="n">
        <x:v>5000</x:v>
      </x:c>
      <x:c r="F5" s="109" t="n">
        <x:v>0</x:v>
      </x:c>
      <x:c r="G5" s="109" t="n">
        <x:v>300</x:v>
      </x:c>
      <x:c r="H5" s="110" t="n">
        <x:v>12</x:v>
      </x:c>
      <x:c r="I5" s="109" t="str">
        <x:v>Não / licença de uso</x:v>
      </x:c>
      <x:c r="J5" s="109" t="n">
        <x:v>13600</x:v>
      </x:c>
      <x:c r="K5" s="109" t="n">
        <x:f>D5+E5+F5+G5*H5</x:f>
        <x:v>13600</x:v>
      </x:c>
      <x:c r="L5" s="109" t="n">
        <x:f>K5-J5</x:f>
        <x:v>0</x:v>
      </x:c>
      <x:c r="M5" s="106" t="str">
        <x:v>MVP rápido: canhotos em tempo real, 3 perfis, offline e Excel</x:v>
      </x:c>
      <x:c r="N5" s="106" t="str">
        <x:f>A5&amp;B5</x:f>
        <x:v>A - MVP EnxutoOpção 1 - Setup + Recorrência</x:v>
      </x:c>
    </x:row>
    <x:row r="6">
      <x:c r="A6" s="106" t="str">
        <x:v>A - MVP Enxuto</x:v>
      </x:c>
      <x:c r="B6" s="106" t="str">
        <x:v>Opção 2 - Apenas Recorrência</x:v>
      </x:c>
      <x:c r="C6" s="109" t="n">
        <x:v>0</x:v>
      </x:c>
      <x:c r="D6" s="109" t="n">
        <x:v>1800</x:v>
      </x:c>
      <x:c r="E6" s="109" t="n">
        <x:v>0</x:v>
      </x:c>
      <x:c r="F6" s="109" t="n">
        <x:v>0</x:v>
      </x:c>
      <x:c r="G6" s="109" t="n">
        <x:v>600</x:v>
      </x:c>
      <x:c r="H6" s="110" t="n">
        <x:v>36</x:v>
      </x:c>
      <x:c r="I6" s="109" t="str">
        <x:v>A negociar / prazo mínimo em contrato</x:v>
      </x:c>
      <x:c r="J6" s="109" t="n">
        <x:v>23400</x:v>
      </x:c>
      <x:c r="K6" s="109" t="n">
        <x:f>D6+E6+F6+G6*H6</x:f>
        <x:v>23400</x:v>
      </x:c>
      <x:c r="L6" s="109" t="n">
        <x:f>K6-J6</x:f>
        <x:v>0</x:v>
      </x:c>
      <x:c r="M6" s="106" t="str">
        <x:v>Apenas recorrência da Proposta A; formalizar permanência e IP</x:v>
      </x:c>
      <x:c r="N6" s="106" t="str">
        <x:f>A6&amp;B6</x:f>
        <x:v>A - MVP EnxutoOpção 2 - Apenas Recorrência</x:v>
      </x:c>
    </x:row>
    <x:row r="7">
      <x:c r="A7" s="106" t="str">
        <x:v>B - MVP Completo</x:v>
      </x:c>
      <x:c r="B7" s="106" t="str">
        <x:v>Opção 1 - Setup + Recorrência</x:v>
      </x:c>
      <x:c r="C7" s="109" t="n">
        <x:v>25000</x:v>
      </x:c>
      <x:c r="D7" s="109" t="n">
        <x:v>10000</x:v>
      </x:c>
      <x:c r="E7" s="109" t="n">
        <x:v>7500</x:v>
      </x:c>
      <x:c r="F7" s="109" t="n">
        <x:v>7500</x:v>
      </x:c>
      <x:c r="G7" s="109" t="n">
        <x:v>500</x:v>
      </x:c>
      <x:c r="H7" s="110" t="n">
        <x:v>12</x:v>
      </x:c>
      <x:c r="I7" s="109" t="str">
        <x:v>Não / licença de uso</x:v>
      </x:c>
      <x:c r="J7" s="109" t="n">
        <x:v>31000</x:v>
      </x:c>
      <x:c r="K7" s="109" t="n">
        <x:f>D7+E7+F7+G7*H7</x:f>
        <x:v>31000</x:v>
      </x:c>
      <x:c r="L7" s="109" t="n">
        <x:f>K7-J7</x:f>
        <x:v>0</x:v>
      </x:c>
      <x:c r="M7" s="106" t="str">
        <x:v>Compra do sistema: 40% início + 30% intermediário + 30% entrega</x:v>
      </x:c>
      <x:c r="N7" s="106" t="str">
        <x:f>A7&amp;B7</x:f>
        <x:v>B - MVP CompletoOpção 1 - Setup + Recorrência</x:v>
      </x:c>
    </x:row>
    <x:row r="8">
      <x:c r="A8" s="106" t="str">
        <x:v>B - MVP Completo</x:v>
      </x:c>
      <x:c r="B8" s="106" t="str">
        <x:v>Opção 2 - Apenas Recorrência</x:v>
      </x:c>
      <x:c r="C8" s="109" t="n">
        <x:v>0</x:v>
      </x:c>
      <x:c r="D8" s="109" t="n">
        <x:v>4500</x:v>
      </x:c>
      <x:c r="E8" s="109" t="n">
        <x:v>0</x:v>
      </x:c>
      <x:c r="F8" s="109" t="n">
        <x:v>0</x:v>
      </x:c>
      <x:c r="G8" s="109" t="n">
        <x:v>1500</x:v>
      </x:c>
      <x:c r="H8" s="110" t="n">
        <x:v>36</x:v>
      </x:c>
      <x:c r="I8" s="109" t="str">
        <x:v>A negociar / prazo mínimo em contrato</x:v>
      </x:c>
      <x:c r="J8" s="109" t="n">
        <x:v>58500</x:v>
      </x:c>
      <x:c r="K8" s="109" t="n">
        <x:f>D8+E8+F8+G8*H8</x:f>
        <x:v>58500</x:v>
      </x:c>
      <x:c r="L8" s="109" t="n">
        <x:f>K8-J8</x:f>
        <x:v>0</x:v>
      </x:c>
      <x:c r="M8" s="106" t="str">
        <x:v>Modelo informado pelo cliente: sinal R$ 4.500 + R$ 1.500/mês; 36m é premissa ajustável</x:v>
      </x:c>
      <x:c r="N8" s="106" t="str">
        <x:f>A8&amp;B8</x:f>
        <x:v>B - MVP CompletoOpção 2 - Apenas Recorrência</x:v>
      </x:c>
    </x:row>
    <x:row r="9">
      <x:c r="A9" s="106" t="str">
        <x:v>C - Evolução / Add-on</x:v>
      </x:c>
      <x:c r="B9" s="106" t="str">
        <x:v>Opção 1 - Setup + Recorrência</x:v>
      </x:c>
      <x:c r="C9" s="109" t="n">
        <x:v>15000</x:v>
      </x:c>
      <x:c r="D9" s="109" t="n">
        <x:v>7500</x:v>
      </x:c>
      <x:c r="E9" s="109" t="n">
        <x:v>7500</x:v>
      </x:c>
      <x:c r="F9" s="109" t="n">
        <x:v>0</x:v>
      </x:c>
      <x:c r="G9" s="109" t="n">
        <x:v>300</x:v>
      </x:c>
      <x:c r="H9" s="110" t="n">
        <x:v>12</x:v>
      </x:c>
      <x:c r="I9" s="109" t="str">
        <x:v>Não / licença de uso</x:v>
      </x:c>
      <x:c r="J9" s="109" t="n">
        <x:v>18600</x:v>
      </x:c>
      <x:c r="K9" s="109" t="n">
        <x:f>D9+E9+F9+G9*H9</x:f>
        <x:v>18600</x:v>
      </x:c>
      <x:c r="L9" s="109" t="n">
        <x:f>K9-J9</x:f>
        <x:v>0</x:v>
      </x:c>
      <x:c r="M9" s="106" t="str">
        <x:v>Add-on posterior ao MVP</x:v>
      </x:c>
      <x:c r="N9" s="106" t="str">
        <x:f>A9&amp;B9</x:f>
        <x:v>C - Evolução / Add-onOpção 1 - Setup + Recorrência</x:v>
      </x:c>
    </x:row>
    <x:row r="10">
      <x:c r="A10" s="106" t="str">
        <x:v>D - Custom</x:v>
      </x:c>
      <x:c r="B10" s="106" t="str">
        <x:v>Custom</x:v>
      </x:c>
      <x:c r="C10" s="109" t="n">
        <x:v>0</x:v>
      </x:c>
      <x:c r="D10" s="109" t="n">
        <x:v>0</x:v>
      </x:c>
      <x:c r="E10" s="109" t="n">
        <x:v>0</x:v>
      </x:c>
      <x:c r="F10" s="109" t="n">
        <x:v>0</x:v>
      </x:c>
      <x:c r="G10" s="109" t="n">
        <x:v>0</x:v>
      </x:c>
      <x:c r="H10" s="110" t="n">
        <x:v>0</x:v>
      </x:c>
      <x:c r="I10" s="109" t="str">
        <x:v>Definir</x:v>
      </x:c>
      <x:c r="J10" s="109" t="n">
        <x:v>0</x:v>
      </x:c>
      <x:c r="K10" s="109" t="n">
        <x:f>D10+E10+F10+G10*H10</x:f>
        <x:v>0</x:v>
      </x:c>
      <x:c r="L10" s="109" t="n">
        <x:f>K10-J10</x:f>
        <x:v>0</x:v>
      </x:c>
      <x:c r="M10" s="106" t="str">
        <x:v>Linha livre para novo projeto</x:v>
      </x:c>
      <x:c r="N10" s="106" t="str">
        <x:f>A10&amp;B10</x:f>
        <x:v>D - CustomCustom</x:v>
      </x:c>
    </x:row>
    <x:row r="11">
      <x:c r="A11" s="30"/>
      <x:c r="B11" s="30"/>
      <x:c r="C11" s="74"/>
      <x:c r="D11" s="74"/>
      <x:c r="E11" s="74"/>
      <x:c r="F11" s="74"/>
      <x:c r="G11" s="74"/>
      <x:c r="H11" s="30"/>
      <x:c r="I11" s="30"/>
      <x:c r="J11" s="74"/>
      <x:c r="K11" s="74"/>
      <x:c r="L11" s="34"/>
      <x:c r="M11"/>
      <x:c r="N11"/>
    </x:row>
    <x:row r="12">
      <x:c r="A12" s="30"/>
      <x:c r="B12" s="30"/>
      <x:c r="C12" s="74"/>
      <x:c r="D12" s="74"/>
      <x:c r="E12" s="74"/>
      <x:c r="F12" s="74"/>
      <x:c r="G12" s="74"/>
      <x:c r="H12" s="30"/>
      <x:c r="I12" s="30"/>
      <x:c r="J12" s="74"/>
      <x:c r="K12" s="74"/>
      <x:c r="L12" s="34"/>
      <x:c r="M12"/>
      <x:c r="N12"/>
    </x:row>
    <x:row r="13">
      <x:c r="A13" s="30"/>
      <x:c r="B13" s="30"/>
      <x:c r="C13" s="74"/>
      <x:c r="D13" s="74"/>
      <x:c r="E13" s="74"/>
      <x:c r="F13" s="74"/>
      <x:c r="G13" s="74"/>
      <x:c r="H13" s="30"/>
      <x:c r="I13" s="30"/>
      <x:c r="J13" s="74"/>
      <x:c r="K13" s="74"/>
      <x:c r="L13" s="34"/>
      <x:c r="M13"/>
      <x:c r="N13"/>
    </x:row>
    <x:row r="14">
      <x:c r="A14" s="30"/>
      <x:c r="B14" s="30"/>
      <x:c r="C14" s="74"/>
      <x:c r="D14" s="74"/>
      <x:c r="E14" s="74"/>
      <x:c r="F14" s="74"/>
      <x:c r="G14" s="74"/>
      <x:c r="H14" s="30"/>
      <x:c r="I14" s="30"/>
      <x:c r="J14" s="74"/>
      <x:c r="K14" s="74"/>
      <x:c r="L14" s="34"/>
      <x:c r="M14"/>
      <x:c r="N14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/>
      <x:c r="M15"/>
      <x:c r="N15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/>
      <x:c r="M16"/>
      <x:c r="N16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/>
      <x:c r="M17"/>
      <x:c r="N17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/>
      <x:c r="M18"/>
      <x:c r="N18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N1"/>
    <x:mergeCell ref="A2:N2"/>
  </x:mergeCells>
  <x:conditionalFormatting sqref="L5:L14">
    <x:cfRule type="expression" dxfId="0" priority="1">
      <x:formula>ABS(L5)&gt;1</x:formula>
    </x:cfRule>
  </x:conditionalFormatting>
  <x:dataValidations count="2">
    <x:dataValidation type="list" sqref="A5:A14">
      <x:formula1>Listas!$A$5:$A$8</x:formula1>
    </x:dataValidation>
    <x:dataValidation type="list" sqref="B5:B14">
      <x:formula1>Listas!$B$5:$B$9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5e206387494b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48" hidden="0" customWidth="1"/>
    <x:col min="5" max="5" width="14" hidden="0" customWidth="1"/>
    <x:col min="6" max="6" width="48" hidden="0" customWidth="1"/>
  </x:cols>
  <x:sheetData>
    <x:row r="1" ht="30" customHeight="1">
      <x:c r="A1" s="68" t="str">
        <x:v>CONFIGURAÇÕES GERAIS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Premissas de margem, impostos, custos, suporte e operação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Configuração</x:v>
      </x:c>
      <x:c r="B4" s="105" t="str">
        <x:v>Valor</x:v>
      </x:c>
      <x:c r="C4" s="105" t="str">
        <x:v>Unidade</x:v>
      </x:c>
      <x:c r="D4" s="105" t="str">
        <x:v>Descrição</x:v>
      </x:c>
      <x:c r="E4" s="105" t="str">
        <x:v>Editável?</x:v>
      </x:c>
      <x:c r="F4" s="105" t="str">
        <x:v>Observação</x:v>
      </x:c>
      <x:c r="G4" s="30"/>
      <x:c r="H4" s="30"/>
      <x:c r="I4" s="30"/>
      <x:c r="J4" s="30"/>
      <x:c r="K4" s="30"/>
    </x:row>
    <x:row r="5">
      <x:c r="A5" s="106" t="str">
        <x:v>Moeda</x:v>
      </x:c>
      <x:c r="B5" s="106" t="str">
        <x:v>BRL</x:v>
      </x:c>
      <x:c r="C5" s="106" t="str">
        <x:v>texto</x:v>
      </x:c>
      <x:c r="D5" s="106" t="str">
        <x:v>Moeda padrão</x:v>
      </x:c>
      <x:c r="E5" s="106" t="str">
        <x:v>Sim</x:v>
      </x:c>
      <x:c r="F5" s="106"/>
      <x:c r="G5" s="30"/>
      <x:c r="H5" s="30"/>
      <x:c r="I5" s="30"/>
      <x:c r="J5" s="30"/>
      <x:c r="K5" s="30"/>
    </x:row>
    <x:row r="6">
      <x:c r="A6" s="106" t="str">
        <x:v>Taxa impostos sobre faturamento</x:v>
      </x:c>
      <x:c r="B6" s="108" t="n">
        <x:v>0.06</x:v>
      </x:c>
      <x:c r="C6" s="106" t="str">
        <x:v>%</x:v>
      </x:c>
      <x:c r="D6" s="106" t="str">
        <x:v>Impostos/taxas estimadas</x:v>
      </x:c>
      <x:c r="E6" s="106" t="str">
        <x:v>Sim</x:v>
      </x:c>
      <x:c r="F6" s="106" t="str">
        <x:v>Validar com contador conforme CNAE/anexo e emissão de nota</x:v>
      </x:c>
      <x:c r="G6" s="30"/>
      <x:c r="H6" s="30"/>
      <x:c r="I6" s="30"/>
      <x:c r="J6" s="30"/>
      <x:c r="K6" s="30"/>
    </x:row>
    <x:row r="7">
      <x:c r="A7" s="106" t="str">
        <x:v>Taxa risco/contingência</x:v>
      </x:c>
      <x:c r="B7" s="108" t="n">
        <x:v>0.1</x:v>
      </x:c>
      <x:c r="C7" s="106" t="str">
        <x:v>%</x:v>
      </x:c>
      <x:c r="D7" s="106" t="str">
        <x:v>Reserva sugerida para imprevistos</x:v>
      </x:c>
      <x:c r="E7" s="106" t="str">
        <x:v>Sim</x:v>
      </x:c>
      <x:c r="F7" s="106" t="str">
        <x:v>Usar como alerta gerencial; não é necessariamente verba separada</x:v>
      </x:c>
      <x:c r="G7" s="30"/>
      <x:c r="H7" s="30"/>
      <x:c r="I7" s="30"/>
      <x:c r="J7" s="30"/>
      <x:c r="K7" s="30"/>
    </x:row>
    <x:row r="8">
      <x:c r="A8" s="106" t="str">
        <x:v>Meta margem líquida</x:v>
      </x:c>
      <x:c r="B8" s="108" t="n">
        <x:v>0.2</x:v>
      </x:c>
      <x:c r="C8" s="106" t="str">
        <x:v>%</x:v>
      </x:c>
      <x:c r="D8" s="106" t="str">
        <x:v>Margem mínima desejada</x:v>
      </x:c>
      <x:c r="E8" s="106" t="str">
        <x:v>Sim</x:v>
      </x:c>
      <x:c r="F8" s="106" t="str">
        <x:v>Para este modelo recorrente, 20% é mais realista que 30% se muitas personas forem envolvidas</x:v>
      </x:c>
      <x:c r="G8" s="30"/>
      <x:c r="H8" s="30"/>
      <x:c r="I8" s="30"/>
      <x:c r="J8" s="30"/>
      <x:c r="K8" s="30"/>
    </x:row>
    <x:row r="9">
      <x:c r="A9" s="106" t="str">
        <x:v>Custo infra mensal padrão</x:v>
      </x:c>
      <x:c r="B9" s="109" t="n">
        <x:v>250</x:v>
      </x:c>
      <x:c r="C9" s="106" t="str">
        <x:v>R$/mês</x:v>
      </x:c>
      <x:c r="D9" s="106" t="str">
        <x:v>Vercel, Supabase, storage, Maps APIs e monitoramento</x:v>
      </x:c>
      <x:c r="E9" s="106" t="str">
        <x:v>Sim</x:v>
      </x:c>
      <x:c r="F9" s="106" t="str">
        <x:v>PDF estima APIs extras de R$ 130 a R$ 280/mês; usado valor conservador interno</x:v>
      </x:c>
      <x:c r="G9" s="30"/>
      <x:c r="H9" s="30"/>
      <x:c r="I9" s="30"/>
      <x:c r="J9" s="30"/>
      <x:c r="K9" s="30"/>
    </x:row>
    <x:row r="10">
      <x:c r="A10" s="106" t="str">
        <x:v>Custo suporte mensal padrão</x:v>
      </x:c>
      <x:c r="B10" s="109" t="n">
        <x:v>150</x:v>
      </x:c>
      <x:c r="C10" s="106" t="str">
        <x:v>R$/mês</x:v>
      </x:c>
      <x:c r="D10" s="106" t="str">
        <x:v>Suporte, pequenas correções, acompanhamento e rotina operacional</x:v>
      </x:c>
      <x:c r="E10" s="106" t="str">
        <x:v>Sim</x:v>
      </x:c>
      <x:c r="F10" s="106" t="str">
        <x:v>Custo interno estimado; cobrança ao cliente é R$ 1.500/mês na modalidade recorrente</x:v>
      </x:c>
      <x:c r="G10" s="30"/>
      <x:c r="H10" s="30"/>
      <x:c r="I10" s="30"/>
      <x:c r="J10" s="30"/>
      <x:c r="K10" s="30"/>
    </x:row>
    <x:row r="11">
      <x:c r="A11" s="106" t="str">
        <x:v>Custo operacional mensal</x:v>
      </x:c>
      <x:c r="B11" s="109" t="n">
        <x:f>B9+B10</x:f>
        <x:v>400</x:v>
      </x:c>
      <x:c r="C11" s="106" t="str">
        <x:v>R$/mês</x:v>
      </x:c>
      <x:c r="D11" s="106" t="str">
        <x:v>Infra + suporte</x:v>
      </x:c>
      <x:c r="E11" s="106" t="str">
        <x:v>Automático</x:v>
      </x:c>
      <x:c r="F11" s="106" t="str">
        <x:v>Usado no dashboard</x:v>
      </x:c>
      <x:c r="G11" s="30"/>
      <x:c r="H11" s="30"/>
      <x:c r="I11" s="30"/>
      <x:c r="J11" s="30"/>
      <x:c r="K11" s="30"/>
    </x:row>
    <x:row r="12">
      <x:c r="A12" s="106" t="str">
        <x:v>Valor/h Comercial/Account</x:v>
      </x:c>
      <x:c r="B12" s="109" t="n">
        <x:v>60</x:v>
      </x:c>
      <x:c r="C12" s="106" t="str">
        <x:v>R$/h</x:v>
      </x:c>
      <x:c r="D12" s="106" t="str">
        <x:v>Venda, negociação, relacionamento e expansão</x:v>
      </x:c>
      <x:c r="E12" s="106" t="str">
        <x:v>Sim</x:v>
      </x:c>
      <x:c r="F12" s="106"/>
      <x:c r="G12" s="30"/>
      <x:c r="H12" s="30"/>
      <x:c r="I12" s="30"/>
      <x:c r="J12" s="30"/>
      <x:c r="K12" s="30"/>
    </x:row>
    <x:row r="13">
      <x:c r="A13" s="106" t="str">
        <x:v>Valor/h Gestão/PM</x:v>
      </x:c>
      <x:c r="B13" s="109" t="n">
        <x:v>80</x:v>
      </x:c>
      <x:c r="C13" s="106" t="str">
        <x:v>R$/h</x:v>
      </x:c>
      <x:c r="D13" s="106" t="str">
        <x:v>Coordenação, cronograma, ritos, status e riscos</x:v>
      </x:c>
      <x:c r="E13" s="106" t="str">
        <x:v>Sim</x:v>
      </x:c>
      <x:c r="F13" s="106"/>
      <x:c r="G13" s="30"/>
      <x:c r="H13" s="30"/>
      <x:c r="I13" s="30"/>
      <x:c r="J13" s="30"/>
      <x:c r="K13" s="30"/>
    </x:row>
    <x:row r="14">
      <x:c r="A14" s="106" t="str">
        <x:v>Valor/h Produto/PO</x:v>
      </x:c>
      <x:c r="B14" s="109" t="n">
        <x:v>90</x:v>
      </x:c>
      <x:c r="C14" s="106" t="str">
        <x:v>R$/h</x:v>
      </x:c>
      <x:c r="D14" s="106" t="str">
        <x:v>Requisitos, regras de negócio, backlog e aceite</x:v>
      </x:c>
      <x:c r="E14" s="106" t="str">
        <x:v>Sim</x:v>
      </x:c>
      <x:c r="F14" s="106"/>
      <x:c r="G14" s="30"/>
      <x:c r="H14" s="30"/>
      <x:c r="I14" s="30"/>
      <x:c r="J14" s="30"/>
      <x:c r="K14" s="30"/>
    </x:row>
    <x:row r="15">
      <x:c r="A15" s="106" t="str">
        <x:v>Valor/h UX/UI</x:v>
      </x:c>
      <x:c r="B15" s="109" t="n">
        <x:v>75</x:v>
      </x:c>
      <x:c r="C15" s="106" t="str">
        <x:v>R$/h</x:v>
      </x:c>
      <x:c r="D15" s="106" t="str">
        <x:v>Fluxos, protótipos, mobile-first e clareza operacional</x:v>
      </x:c>
      <x:c r="E15" s="106" t="str">
        <x:v>Sim</x:v>
      </x:c>
      <x:c r="F15" s="106"/>
      <x:c r="G15" s="30"/>
      <x:c r="H15" s="30"/>
      <x:c r="I15" s="30"/>
      <x:c r="J15" s="30"/>
      <x:c r="K15" s="30"/>
    </x:row>
    <x:row r="16">
      <x:c r="A16" s="106" t="str">
        <x:v>Valor/h Dev Frontend/Produto</x:v>
      </x:c>
      <x:c r="B16" s="109" t="n">
        <x:v>80</x:v>
      </x:c>
      <x:c r="C16" s="106" t="str">
        <x:v>R$/h</x:v>
      </x:c>
      <x:c r="D16" s="106" t="str">
        <x:v>Next.js, PWA, telas e dashboards</x:v>
      </x:c>
      <x:c r="E16" s="106" t="str">
        <x:v>Sim</x:v>
      </x:c>
      <x:c r="F16" s="106"/>
      <x:c r="G16" s="30"/>
      <x:c r="H16" s="30"/>
      <x:c r="I16" s="30"/>
      <x:c r="J16" s="30"/>
      <x:c r="K16" s="30"/>
    </x:row>
    <x:row r="17">
      <x:c r="A17" s="106" t="str">
        <x:v>Valor/h Dev Backend/Infra</x:v>
      </x:c>
      <x:c r="B17" s="109" t="n">
        <x:v>90</x:v>
      </x:c>
      <x:c r="C17" s="106" t="str">
        <x:v>R$/h</x:v>
      </x:c>
      <x:c r="D17" s="106" t="str">
        <x:v>Supabase, APIs, RLS, storage e realtime</x:v>
      </x:c>
      <x:c r="E17" s="106" t="str">
        <x:v>Sim</x:v>
      </x:c>
      <x:c r="F17" s="106"/>
      <x:c r="G17" s="30"/>
      <x:c r="H17" s="30"/>
      <x:c r="I17" s="30"/>
      <x:c r="J17" s="30"/>
      <x:c r="K17" s="30"/>
    </x:row>
    <x:row r="18">
      <x:c r="A18" s="106" t="str">
        <x:v>Valor/h PWA/Offline</x:v>
      </x:c>
      <x:c r="B18" s="109" t="n">
        <x:v>95</x:v>
      </x:c>
      <x:c r="C18" s="106" t="str">
        <x:v>R$/h</x:v>
      </x:c>
      <x:c r="D18" s="106" t="str">
        <x:v>Service Worker, IndexedDB, câmera, sync e resiliência</x:v>
      </x:c>
      <x:c r="E18" s="106" t="str">
        <x:v>Sim</x:v>
      </x:c>
      <x:c r="F18" s="106"/>
      <x:c r="G18" s="30"/>
      <x:c r="H18" s="30"/>
      <x:c r="I18" s="30"/>
      <x:c r="J18" s="30"/>
      <x:c r="K18" s="30"/>
    </x:row>
    <x:row r="19">
      <x:c r="A19" s="106" t="str">
        <x:v>Valor/h GIS/Maps</x:v>
      </x:c>
      <x:c r="B19" s="109" t="n">
        <x:v>100</x:v>
      </x:c>
      <x:c r="C19" s="106" t="str">
        <x:v>R$/h</x:v>
      </x:c>
      <x:c r="D19" s="106" t="str">
        <x:v>Google Maps Directions/Distance Matrix e roteirização</x:v>
      </x:c>
      <x:c r="E19" s="106" t="str">
        <x:v>Sim</x:v>
      </x:c>
      <x:c r="F19" s="106"/>
      <x:c r="G19" s="30"/>
      <x:c r="H19" s="30"/>
      <x:c r="I19" s="30"/>
      <x:c r="J19" s="30"/>
      <x:c r="K19" s="30"/>
    </x:row>
    <x:row r="20">
      <x:c r="A20" s="106" t="str">
        <x:v>Valor/h Dados/BI</x:v>
      </x:c>
      <x:c r="B20" s="109" t="n">
        <x:v>90</x:v>
      </x:c>
      <x:c r="C20" s="106" t="str">
        <x:v>R$/h</x:v>
      </x:c>
      <x:c r="D20" s="106" t="str">
        <x:v>KPIs, rentabilidade, gráficos, relatórios e exportação</x:v>
      </x:c>
      <x:c r="E20" s="106" t="str">
        <x:v>Sim</x:v>
      </x:c>
      <x:c r="F20" s="106"/>
      <x:c r="G20" s="30"/>
      <x:c r="H20" s="30"/>
      <x:c r="I20" s="30"/>
      <x:c r="J20" s="30"/>
      <x:c r="K20" s="30"/>
    </x:row>
    <x:row r="21">
      <x:c r="A21" s="106" t="str">
        <x:v>Valor/h DevOps/SRE</x:v>
      </x:c>
      <x:c r="B21" s="109" t="n">
        <x:v>100</x:v>
      </x:c>
      <x:c r="C21" s="106" t="str">
        <x:v>R$/h</x:v>
      </x:c>
      <x:c r="D21" s="106" t="str">
        <x:v>Deploy, ambientes, logs, backup e monitoramento</x:v>
      </x:c>
      <x:c r="E21" s="106" t="str">
        <x:v>Sim</x:v>
      </x:c>
      <x:c r="F21" s="106"/>
      <x:c r="G21" s="30"/>
      <x:c r="H21" s="30"/>
      <x:c r="I21" s="30"/>
      <x:c r="J21" s="30"/>
      <x:c r="K21" s="30"/>
    </x:row>
    <x:row r="22">
      <x:c r="A22" s="106" t="str">
        <x:v>Valor/h Arquitetura/QA</x:v>
      </x:c>
      <x:c r="B22" s="109" t="n">
        <x:v>110</x:v>
      </x:c>
      <x:c r="C22" s="106" t="str">
        <x:v>R$/h</x:v>
      </x:c>
      <x:c r="D22" s="106" t="str">
        <x:v>Arquitetura, revisão técnica, testes e DoD</x:v>
      </x:c>
      <x:c r="E22" s="106" t="str">
        <x:v>Sim</x:v>
      </x:c>
      <x:c r="F22" s="106"/>
      <x:c r="G22" s="30"/>
      <x:c r="H22" s="30"/>
      <x:c r="I22" s="30"/>
      <x:c r="J22" s="30"/>
      <x:c r="K22" s="30"/>
    </x:row>
    <x:row r="23">
      <x:c r="A23" s="106" t="str">
        <x:v>Valor/h Segurança/LGPD</x:v>
      </x:c>
      <x:c r="B23" s="109" t="n">
        <x:v>110</x:v>
      </x:c>
      <x:c r="C23" s="106" t="str">
        <x:v>R$/h</x:v>
      </x:c>
      <x:c r="D23" s="106" t="str">
        <x:v>Privacidade, retenção, acesso mínimo e segurança</x:v>
      </x:c>
      <x:c r="E23" s="106" t="str">
        <x:v>Sim</x:v>
      </x:c>
      <x:c r="F23" s="106"/>
      <x:c r="G23" s="30"/>
      <x:c r="H23" s="30"/>
      <x:c r="I23" s="30"/>
      <x:c r="J23" s="30"/>
      <x:c r="K23" s="30"/>
    </x:row>
    <x:row r="24">
      <x:c r="A24" s="106" t="str">
        <x:v>Valor/h Jurídico Contratual</x:v>
      </x:c>
      <x:c r="B24" s="109" t="n">
        <x:v>150</x:v>
      </x:c>
      <x:c r="C24" s="106" t="str">
        <x:v>R$/h</x:v>
      </x:c>
      <x:c r="D24" s="106" t="str">
        <x:v>Contrato, NDA, termos, SLA, IP e rescisão</x:v>
      </x:c>
      <x:c r="E24" s="106" t="str">
        <x:v>Sim</x:v>
      </x:c>
      <x:c r="F24" s="106"/>
      <x:c r="G24" s="30"/>
      <x:c r="H24" s="30"/>
      <x:c r="I24" s="30"/>
      <x:c r="J24" s="30"/>
      <x:c r="K24" s="30"/>
    </x:row>
    <x:row r="25">
      <x:c r="A25" s="106" t="str">
        <x:v>Valor/h CS/Treinamento</x:v>
      </x:c>
      <x:c r="B25" s="109" t="n">
        <x:v>60</x:v>
      </x:c>
      <x:c r="C25" s="106" t="str">
        <x:v>R$/h</x:v>
      </x:c>
      <x:c r="D25" s="106" t="str">
        <x:v>Treinamento, guia de uso, ativação de clientes e go-live</x:v>
      </x:c>
      <x:c r="E25" s="106" t="str">
        <x:v>Sim</x:v>
      </x:c>
      <x:c r="F25" s="106"/>
      <x:c r="G25" s="30"/>
      <x:c r="H25" s="30"/>
      <x:c r="I25" s="30"/>
      <x:c r="J25" s="30"/>
      <x:c r="K25" s="30"/>
    </x:row>
    <x:row r="26">
      <x:c r="A26" s="106" t="str">
        <x:v>Valor/h Suporte Técnico</x:v>
      </x:c>
      <x:c r="B26" s="109" t="n">
        <x:v>60</x:v>
      </x:c>
      <x:c r="C26" s="106" t="str">
        <x:v>R$/h</x:v>
      </x:c>
      <x:c r="D26" s="106" t="str">
        <x:v>Atendimento N1/N2 e pós-lançamento</x:v>
      </x:c>
      <x:c r="E26" s="106" t="str">
        <x:v>Sim</x:v>
      </x:c>
      <x:c r="F26" s="106"/>
      <x:c r="G26" s="30"/>
      <x:c r="H26" s="30"/>
      <x:c r="I26" s="30"/>
      <x:c r="J26" s="30"/>
      <x:c r="K26" s="30"/>
    </x:row>
    <x:row r="27">
      <x:c r="A27" s="106" t="str">
        <x:v>Valor/h Financeiro/Controller</x:v>
      </x:c>
      <x:c r="B27" s="109" t="n">
        <x:v>70</x:v>
      </x:c>
      <x:c r="C27" s="106" t="str">
        <x:v>R$/h</x:v>
      </x:c>
      <x:c r="D27" s="106" t="str">
        <x:v>DRE, impostos, custos de API e viabilidade</x:v>
      </x:c>
      <x:c r="E27" s="106" t="str">
        <x:v>Sim</x:v>
      </x:c>
      <x:c r="F27" s="106"/>
      <x:c r="G27" s="30"/>
      <x:c r="H27" s="30"/>
      <x:c r="I27" s="30"/>
      <x:c r="J27" s="30"/>
      <x:c r="K27" s="30"/>
    </x:row>
    <x:row r="28">
      <x:c r="A28" s="106" t="str">
        <x:v>Valor/h UzzAI Empresa</x:v>
      </x:c>
      <x:c r="B28" s="109" t="n">
        <x:v>0</x:v>
      </x:c>
      <x:c r="C28" s="106" t="str">
        <x:v>R$/h</x:v>
      </x:c>
      <x:c r="D28" s="106" t="str">
        <x:v>Caixa, gestão e reserva institucional</x:v>
      </x:c>
      <x:c r="E28" s="106" t="str">
        <x:v>Não</x:v>
      </x:c>
      <x:c r="F28" s="106" t="str">
        <x:v>Usado em distribuição, não em custo/hora</x:v>
      </x:c>
      <x:c r="G28" s="30"/>
      <x:c r="H28" s="30"/>
      <x:c r="I28" s="30"/>
      <x:c r="J28" s="30"/>
      <x:c r="K28" s="30"/>
    </x:row>
    <x:row r="29">
      <x:c r="A29" s="106" t="str">
        <x:v>Valor/h Reserva/Produto</x:v>
      </x:c>
      <x:c r="B29" s="109" t="n">
        <x:v>0</x:v>
      </x:c>
      <x:c r="C29" s="106" t="str">
        <x:v>R$/h</x:v>
      </x:c>
      <x:c r="D29" s="106" t="str">
        <x:v>Reserva para evolução, risco e produto</x:v>
      </x:c>
      <x:c r="E29" s="106" t="str">
        <x:v>Não</x:v>
      </x:c>
      <x:c r="F29" s="106" t="str">
        <x:v>Usado em distribuição, não em custo/hora</x:v>
      </x:c>
      <x:c r="G29" s="30"/>
      <x:c r="H29" s="30"/>
      <x:c r="I29" s="30"/>
      <x:c r="J29" s="30"/>
      <x:c r="K29" s="30"/>
    </x:row>
    <x:row r="30">
      <x:c r="A30" s="106" t="str">
        <x:v>Valor/h Cliente/Sponsor</x:v>
      </x:c>
      <x:c r="B30" s="109" t="n">
        <x:v>0</x:v>
      </x:c>
      <x:c r="C30" s="106" t="str">
        <x:v>R$/h</x:v>
      </x:c>
      <x:c r="D30" s="106" t="str">
        <x:v>Participação do cliente na validação</x:v>
      </x:c>
      <x:c r="E30" s="106" t="str">
        <x:v>Não</x:v>
      </x:c>
      <x:c r="F30" s="106" t="str">
        <x:v>Não entra em custo UzzAI</x:v>
      </x:c>
      <x:c r="G30" s="30"/>
      <x:c r="H30" s="30"/>
      <x:c r="I30" s="30"/>
      <x:c r="J30" s="30"/>
      <x:c r="K30" s="30"/>
    </x:row>
    <x:row r="31">
      <x:c r="A31" s="106"/>
      <x:c r="B31" s="109"/>
      <x:c r="C31" s="106"/>
      <x:c r="D31" s="106"/>
      <x:c r="E31" s="106"/>
      <x:c r="F31" s="106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26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54" hidden="0" customWidth="1"/>
  </x:cols>
  <x:sheetData>
    <x:row r="1" ht="30" customHeight="1">
      <x:c r="A1" s="68" t="str">
        <x:v>CUSTOS DO PROJETO</x:v>
      </x:c>
      <x:c r="B1" s="68"/>
      <x:c r="C1" s="68"/>
      <x:c r="D1" s="68"/>
      <x:c r="E1" s="68"/>
      <x:c r="F1" s="68"/>
      <x:c r="G1" s="68"/>
      <x:c r="H1" s="68"/>
      <x:c r="I1" s="68"/>
      <x:c r="J1" s="30"/>
      <x:c r="K1" s="30"/>
    </x:row>
    <x:row r="2" ht="24" customHeight="1">
      <x:c r="A2" s="69" t="str">
        <x:v>Horas, custos internos, infraestrutura e esforço estimado por proposta</x:v>
      </x:c>
      <x:c r="B2" s="69"/>
      <x:c r="C2" s="69"/>
      <x:c r="D2" s="69"/>
      <x:c r="E2" s="69"/>
      <x:c r="F2" s="69"/>
      <x:c r="G2" s="69"/>
      <x:c r="H2" s="69"/>
      <x:c r="I2" s="69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Categoria</x:v>
      </x:c>
      <x:c r="B4" s="105" t="str">
        <x:v>Proposta</x:v>
      </x:c>
      <x:c r="C4" s="105" t="str">
        <x:v>Item</x:v>
      </x:c>
      <x:c r="D4" s="105" t="str">
        <x:v>Responsável/Papel</x:v>
      </x:c>
      <x:c r="E4" s="105" t="str">
        <x:v>Qtd/Horas</x:v>
      </x:c>
      <x:c r="F4" s="105" t="str">
        <x:v>Unidade</x:v>
      </x:c>
      <x:c r="G4" s="105" t="str">
        <x:v>Custo unitário</x:v>
      </x:c>
      <x:c r="H4" s="105" t="str">
        <x:v>Custo total</x:v>
      </x:c>
      <x:c r="I4" s="105" t="str">
        <x:v>Observação</x:v>
      </x:c>
      <x:c r="J4" s="30"/>
      <x:c r="K4" s="30"/>
    </x:row>
    <x:row r="5">
      <x:c r="A5" s="106" t="str">
        <x:v>Comercial</x:v>
      </x:c>
      <x:c r="B5" s="106" t="str">
        <x:v>B - MVP Completo</x:v>
      </x:c>
      <x:c r="C5" s="106" t="str">
        <x:v>Venda, negociação e acompanhamento</x:v>
      </x:c>
      <x:c r="D5" s="106" t="str">
        <x:v>Comercial/Account</x:v>
      </x:c>
      <x:c r="E5" s="110" t="n">
        <x:v>12</x:v>
      </x:c>
      <x:c r="F5" s="106" t="str">
        <x:v>h</x:v>
      </x:c>
      <x:c r="G5" s="109" t="n">
        <x:f>IFERROR(INDEX(Config!$B$12:$B$31,MATCH("Valor/h "&amp;D5,Config!$A$12:$A$31,0)),0)</x:f>
        <x:v>60</x:v>
      </x:c>
      <x:c r="H5" s="109" t="n">
        <x:f>E5*G5</x:f>
        <x:v>720</x:v>
      </x:c>
      <x:c r="I5" s="106" t="str">
        <x:v>Inclui alinhamento com Matheus e evolução da conta</x:v>
      </x:c>
      <x:c r="J5" s="30"/>
      <x:c r="K5" s="30"/>
    </x:row>
    <x:row r="6">
      <x:c r="A6" s="106" t="str">
        <x:v>Gestão</x:v>
      </x:c>
      <x:c r="B6" s="106" t="str">
        <x:v>B - MVP Completo</x:v>
      </x:c>
      <x:c r="C6" s="106" t="str">
        <x:v>PM, cronograma, sprints e riscos</x:v>
      </x:c>
      <x:c r="D6" s="106" t="str">
        <x:v>Gestão/PM</x:v>
      </x:c>
      <x:c r="E6" s="110" t="n">
        <x:v>24</x:v>
      </x:c>
      <x:c r="F6" s="106" t="str">
        <x:v>h</x:v>
      </x:c>
      <x:c r="G6" s="109" t="n">
        <x:f>IFERROR(INDEX(Config!$B$12:$B$31,MATCH("Valor/h "&amp;D6,Config!$A$12:$A$31,0)),0)</x:f>
        <x:v>80</x:v>
      </x:c>
      <x:c r="H6" s="109" t="n">
        <x:f>E6*G6</x:f>
        <x:v>1920</x:v>
      </x:c>
      <x:c r="I6" s="106" t="str">
        <x:v>Rituais, status semanal, controle de dependências</x:v>
      </x:c>
      <x:c r="J6" s="30"/>
      <x:c r="K6" s="30"/>
    </x:row>
    <x:row r="7">
      <x:c r="A7" s="106" t="str">
        <x:v>Produto</x:v>
      </x:c>
      <x:c r="B7" s="106" t="str">
        <x:v>B - MVP Completo</x:v>
      </x:c>
      <x:c r="C7" s="106" t="str">
        <x:v>PO/analista de negócio logístico</x:v>
      </x:c>
      <x:c r="D7" s="106" t="str">
        <x:v>Produto/PO</x:v>
      </x:c>
      <x:c r="E7" s="110" t="n">
        <x:v>12</x:v>
      </x:c>
      <x:c r="F7" s="106" t="str">
        <x:v>h</x:v>
      </x:c>
      <x:c r="G7" s="109" t="n">
        <x:f>IFERROR(INDEX(Config!$B$12:$B$31,MATCH("Valor/h "&amp;D7,Config!$A$12:$A$31,0)),0)</x:f>
        <x:v>90</x:v>
      </x:c>
      <x:c r="H7" s="109" t="n">
        <x:f>E7*G7</x:f>
        <x:v>1080</x:v>
      </x:c>
      <x:c r="I7" s="106" t="str">
        <x:v>Regras de rota, NF, rentabilidade, status e critérios</x:v>
      </x:c>
      <x:c r="J7" s="30"/>
      <x:c r="K7" s="30"/>
    </x:row>
    <x:row r="8">
      <x:c r="A8" s="106" t="str">
        <x:v>Produto</x:v>
      </x:c>
      <x:c r="B8" s="106" t="str">
        <x:v>B - MVP Completo</x:v>
      </x:c>
      <x:c r="C8" s="106" t="str">
        <x:v>UX/UI mobile-first e dashboards</x:v>
      </x:c>
      <x:c r="D8" s="106" t="str">
        <x:v>UX/UI</x:v>
      </x:c>
      <x:c r="E8" s="110" t="n">
        <x:v>12</x:v>
      </x:c>
      <x:c r="F8" s="106" t="str">
        <x:v>h</x:v>
      </x:c>
      <x:c r="G8" s="109" t="n">
        <x:f>IFERROR(INDEX(Config!$B$12:$B$31,MATCH("Valor/h "&amp;D8,Config!$A$12:$A$31,0)),0)</x:f>
        <x:v>75</x:v>
      </x:c>
      <x:c r="H8" s="109" t="n">
        <x:f>E8*G8</x:f>
        <x:v>900</x:v>
      </x:c>
      <x:c r="I8" s="106" t="str">
        <x:v>Motorista usa com uma mão; gerência precisa visão rápida</x:v>
      </x:c>
      <x:c r="J8" s="30"/>
      <x:c r="K8" s="30"/>
    </x:row>
    <x:row r="9">
      <x:c r="A9" s="106" t="str">
        <x:v>Desenvolvimento</x:v>
      </x:c>
      <x:c r="B9" s="106" t="str">
        <x:v>B - MVP Completo</x:v>
      </x:c>
      <x:c r="C9" s="106" t="str">
        <x:v>Frontend/PWA: gerência, motorista e cliente</x:v>
      </x:c>
      <x:c r="D9" s="106" t="str">
        <x:v>Dev Frontend/Produto</x:v>
      </x:c>
      <x:c r="E9" s="110" t="n">
        <x:v>45</x:v>
      </x:c>
      <x:c r="F9" s="106" t="str">
        <x:v>h</x:v>
      </x:c>
      <x:c r="G9" s="109" t="n">
        <x:f>IFERROR(INDEX(Config!$B$12:$B$31,MATCH("Valor/h "&amp;D9,Config!$A$12:$A$31,0)),0)</x:f>
        <x:v>80</x:v>
      </x:c>
      <x:c r="H9" s="109" t="n">
        <x:f>E9*G9</x:f>
        <x:v>3600</x:v>
      </x:c>
      <x:c r="I9" s="106" t="str">
        <x:v>Telas, filtros, gráficos, exportações e responsividade</x:v>
      </x:c>
      <x:c r="J9" s="30"/>
      <x:c r="K9" s="30"/>
    </x:row>
    <x:row r="10">
      <x:c r="A10" s="106" t="str">
        <x:v>Desenvolvimento</x:v>
      </x:c>
      <x:c r="B10" s="106" t="str">
        <x:v>B - MVP Completo</x:v>
      </x:c>
      <x:c r="C10" s="106" t="str">
        <x:v>Backend/infra: Supabase, API, RLS, storage</x:v>
      </x:c>
      <x:c r="D10" s="106" t="str">
        <x:v>Dev Backend/Infra</x:v>
      </x:c>
      <x:c r="E10" s="110" t="n">
        <x:v>50</x:v>
      </x:c>
      <x:c r="F10" s="106" t="str">
        <x:v>h</x:v>
      </x:c>
      <x:c r="G10" s="109" t="n">
        <x:f>IFERROR(INDEX(Config!$B$12:$B$31,MATCH("Valor/h "&amp;D10,Config!$A$12:$A$31,0)),0)</x:f>
        <x:v>90</x:v>
      </x:c>
      <x:c r="H10" s="109" t="n">
        <x:f>E10*G10</x:f>
        <x:v>4500</x:v>
      </x:c>
      <x:c r="I10" s="106" t="str">
        <x:v>Auth, dados, realtime, storage, importação Excel</x:v>
      </x:c>
      <x:c r="J10" s="30"/>
      <x:c r="K10" s="30"/>
    </x:row>
    <x:row r="11">
      <x:c r="A11" s="106" t="str">
        <x:v>Desenvolvimento</x:v>
      </x:c>
      <x:c r="B11" s="106" t="str">
        <x:v>B - MVP Completo</x:v>
      </x:c>
      <x:c r="C11" s="106" t="str">
        <x:v>Offline-first: câmera, IndexedDB e sync</x:v>
      </x:c>
      <x:c r="D11" s="106" t="str">
        <x:v>PWA/Offline</x:v>
      </x:c>
      <x:c r="E11" s="110" t="n">
        <x:v>18</x:v>
      </x:c>
      <x:c r="F11" s="106" t="str">
        <x:v>h</x:v>
      </x:c>
      <x:c r="G11" s="109" t="n">
        <x:f>IFERROR(INDEX(Config!$B$12:$B$31,MATCH("Valor/h "&amp;D11,Config!$A$12:$A$31,0)),0)</x:f>
        <x:v>95</x:v>
      </x:c>
      <x:c r="H11" s="109" t="n">
        <x:f>E11*G11</x:f>
        <x:v>1710</x:v>
      </x:c>
      <x:c r="I11" s="106" t="str">
        <x:v>Regiões de sinal fraco: Gramado, Canela, Petrópolis e interior</x:v>
      </x:c>
      <x:c r="J11" s="30"/>
      <x:c r="K11" s="30"/>
    </x:row>
    <x:row r="12">
      <x:c r="A12" s="106" t="str">
        <x:v>Integrações</x:v>
      </x:c>
      <x:c r="B12" s="106" t="str">
        <x:v>B - MVP Completo</x:v>
      </x:c>
      <x:c r="C12" s="106" t="str">
        <x:v>Google Maps Directions/Distance Matrix</x:v>
      </x:c>
      <x:c r="D12" s="106" t="str">
        <x:v>GIS/Maps</x:v>
      </x:c>
      <x:c r="E12" s="110" t="n">
        <x:v>18</x:v>
      </x:c>
      <x:c r="F12" s="106" t="str">
        <x:v>h</x:v>
      </x:c>
      <x:c r="G12" s="109" t="n">
        <x:f>IFERROR(INDEX(Config!$B$12:$B$31,MATCH("Valor/h "&amp;D12,Config!$A$12:$A$31,0)),0)</x:f>
        <x:v>100</x:v>
      </x:c>
      <x:c r="H12" s="109" t="n">
        <x:f>E12*G12</x:f>
        <x:v>1800</x:v>
      </x:c>
      <x:c r="I12" s="106" t="str">
        <x:v>Roteirização, distância, tempo e rentabilidade</x:v>
      </x:c>
      <x:c r="J12" s="30"/>
      <x:c r="K12" s="30"/>
    </x:row>
    <x:row r="13">
      <x:c r="A13" s="106" t="str">
        <x:v>Dados</x:v>
      </x:c>
      <x:c r="B13" s="106" t="str">
        <x:v>B - MVP Completo</x:v>
      </x:c>
      <x:c r="C13" s="106" t="str">
        <x:v>KPIs, financeiro, dashboards e relatórios</x:v>
      </x:c>
      <x:c r="D13" s="106" t="str">
        <x:v>Dados/BI</x:v>
      </x:c>
      <x:c r="E13" s="110" t="n">
        <x:v>20</x:v>
      </x:c>
      <x:c r="F13" s="106" t="str">
        <x:v>h</x:v>
      </x:c>
      <x:c r="G13" s="109" t="n">
        <x:f>IFERROR(INDEX(Config!$B$12:$B$31,MATCH("Valor/h "&amp;D13,Config!$A$12:$A$31,0)),0)</x:f>
        <x:v>90</x:v>
      </x:c>
      <x:c r="H13" s="109" t="n">
        <x:f>E13*G13</x:f>
        <x:v>1800</x:v>
      </x:c>
      <x:c r="I13" s="106" t="str">
        <x:v>Entregas/dia, ocorrências, margem, exportação Excel</x:v>
      </x:c>
      <x:c r="J13" s="30"/>
      <x:c r="K13" s="30"/>
    </x:row>
    <x:row r="14">
      <x:c r="A14" s="106" t="str">
        <x:v>Infra</x:v>
      </x:c>
      <x:c r="B14" s="106" t="str">
        <x:v>B - MVP Completo</x:v>
      </x:c>
      <x:c r="C14" s="106" t="str">
        <x:v>Deploy, ambientes, monitoramento e backup</x:v>
      </x:c>
      <x:c r="D14" s="106" t="str">
        <x:v>DevOps/SRE</x:v>
      </x:c>
      <x:c r="E14" s="110" t="n">
        <x:v>8</x:v>
      </x:c>
      <x:c r="F14" s="106" t="str">
        <x:v>h</x:v>
      </x:c>
      <x:c r="G14" s="109" t="n">
        <x:f>IFERROR(INDEX(Config!$B$12:$B$31,MATCH("Valor/h "&amp;D14,Config!$A$12:$A$31,0)),0)</x:f>
        <x:v>100</x:v>
      </x:c>
      <x:c r="H14" s="109" t="n">
        <x:f>E14*G14</x:f>
        <x:v>800</x:v>
      </x:c>
      <x:c r="I14" s="106" t="str">
        <x:v>Vercel, Supabase, secrets, logs, custos API</x:v>
      </x:c>
      <x:c r="J14" s="30"/>
      <x:c r="K14" s="30"/>
    </x:row>
    <x:row r="15">
      <x:c r="A15" s="106" t="str">
        <x:v>Qualidade</x:v>
      </x:c>
      <x:c r="B15" s="106" t="str">
        <x:v>B - MVP Completo</x:v>
      </x:c>
      <x:c r="C15" s="106" t="str">
        <x:v>Arquitetura, QA, testes E2E e aceite</x:v>
      </x:c>
      <x:c r="D15" s="106" t="str">
        <x:v>Arquitetura/QA</x:v>
      </x:c>
      <x:c r="E15" s="110" t="n">
        <x:v>16</x:v>
      </x:c>
      <x:c r="F15" s="106" t="str">
        <x:v>h</x:v>
      </x:c>
      <x:c r="G15" s="109" t="n">
        <x:f>IFERROR(INDEX(Config!$B$12:$B$31,MATCH("Valor/h "&amp;D15,Config!$A$12:$A$31,0)),0)</x:f>
        <x:v>110</x:v>
      </x:c>
      <x:c r="H15" s="109" t="n">
        <x:f>E15*G15</x:f>
        <x:v>1760</x:v>
      </x:c>
      <x:c r="I15" s="106" t="str">
        <x:v>Testes de offline, permissionamento, carga e dashboards</x:v>
      </x:c>
      <x:c r="J15" s="30"/>
      <x:c r="K15" s="30"/>
    </x:row>
    <x:row r="16">
      <x:c r="A16" s="106" t="str">
        <x:v>Segurança</x:v>
      </x:c>
      <x:c r="B16" s="106" t="str">
        <x:v>B - MVP Completo</x:v>
      </x:c>
      <x:c r="C16" s="106" t="str">
        <x:v>LGPD, privacidade, retenção e acesso mínimo</x:v>
      </x:c>
      <x:c r="D16" s="106" t="str">
        <x:v>Segurança/LGPD</x:v>
      </x:c>
      <x:c r="E16" s="110" t="n">
        <x:v>4</x:v>
      </x:c>
      <x:c r="F16" s="106" t="str">
        <x:v>h</x:v>
      </x:c>
      <x:c r="G16" s="109" t="n">
        <x:f>IFERROR(INDEX(Config!$B$12:$B$31,MATCH("Valor/h "&amp;D16,Config!$A$12:$A$31,0)),0)</x:f>
        <x:v>110</x:v>
      </x:c>
      <x:c r="H16" s="109" t="n">
        <x:f>E16*G16</x:f>
        <x:v>440</x:v>
      </x:c>
      <x:c r="I16" s="106" t="str">
        <x:v>Fotos de canhotos, usuários, clientes e histórico</x:v>
      </x:c>
      <x:c r="J16" s="30"/>
      <x:c r="K16" s="30"/>
    </x:row>
    <x:row r="17">
      <x:c r="A17" s="106" t="str">
        <x:v>Jurídico</x:v>
      </x:c>
      <x:c r="B17" s="106" t="str">
        <x:v>B - MVP Completo</x:v>
      </x:c>
      <x:c r="C17" s="106" t="str">
        <x:v>Contrato, NDA, SLA, IP e rescisão</x:v>
      </x:c>
      <x:c r="D17" s="106" t="str">
        <x:v>Jurídico Contratual</x:v>
      </x:c>
      <x:c r="E17" s="110" t="n">
        <x:v>6</x:v>
      </x:c>
      <x:c r="F17" s="106" t="str">
        <x:v>h</x:v>
      </x:c>
      <x:c r="G17" s="109" t="n">
        <x:f>IFERROR(INDEX(Config!$B$12:$B$31,MATCH("Valor/h "&amp;D17,Config!$A$12:$A$31,0)),0)</x:f>
        <x:v>150</x:v>
      </x:c>
      <x:c r="H17" s="109" t="n">
        <x:f>E17*G17</x:f>
        <x:v>900</x:v>
      </x:c>
      <x:c r="I17" s="106" t="str">
        <x:v>Obrigatório para modalidade recorrente e propriedade do código</x:v>
      </x:c>
      <x:c r="J17" s="30"/>
      <x:c r="K17" s="30"/>
    </x:row>
    <x:row r="18">
      <x:c r="A18" s="106" t="str">
        <x:v>Implantação</x:v>
      </x:c>
      <x:c r="B18" s="106" t="str">
        <x:v>B - MVP Completo</x:v>
      </x:c>
      <x:c r="C18" s="106" t="str">
        <x:v>Treinamento, guia e ativação de logins</x:v>
      </x:c>
      <x:c r="D18" s="106" t="str">
        <x:v>CS/Treinamento</x:v>
      </x:c>
      <x:c r="E18" s="110" t="n">
        <x:v>10</x:v>
      </x:c>
      <x:c r="F18" s="106" t="str">
        <x:v>h</x:v>
      </x:c>
      <x:c r="G18" s="109" t="n">
        <x:f>IFERROR(INDEX(Config!$B$12:$B$31,MATCH("Valor/h "&amp;D18,Config!$A$12:$A$31,0)),0)</x:f>
        <x:v>60</x:v>
      </x:c>
      <x:c r="H18" s="109" t="n">
        <x:f>E18*G18</x:f>
        <x:v>600</x:v>
      </x:c>
      <x:c r="I18" s="106" t="str">
        <x:v>16 motoristas + cerca de 20 empresas clientes</x:v>
      </x:c>
      <x:c r="J18" s="30"/>
      <x:c r="K18" s="30"/>
    </x:row>
    <x:row r="19">
      <x:c r="A19" s="106" t="str">
        <x:v>Financeiro</x:v>
      </x:c>
      <x:c r="B19" s="106" t="str">
        <x:v>B - MVP Completo</x:v>
      </x:c>
      <x:c r="C19" s="106" t="str">
        <x:v>DRE, impostos e viabilidade da recorrência</x:v>
      </x:c>
      <x:c r="D19" s="106" t="str">
        <x:v>Financeiro/Controller</x:v>
      </x:c>
      <x:c r="E19" s="110" t="n">
        <x:v>3</x:v>
      </x:c>
      <x:c r="F19" s="106" t="str">
        <x:v>h</x:v>
      </x:c>
      <x:c r="G19" s="109" t="n">
        <x:f>IFERROR(INDEX(Config!$B$12:$B$31,MATCH("Valor/h "&amp;D19,Config!$A$12:$A$31,0)),0)</x:f>
        <x:v>70</x:v>
      </x:c>
      <x:c r="H19" s="109" t="n">
        <x:f>E19*G19</x:f>
        <x:v>210</x:v>
      </x:c>
      <x:c r="I19" s="106" t="str">
        <x:v>Acompanhar margem, custos API e inadimplência</x:v>
      </x:c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I1"/>
    <x:mergeCell ref="A2:I2"/>
  </x:mergeCells>
  <x:dataValidations count="2">
    <x:dataValidation type="list" sqref="B5:B18">
      <x:formula1>Listas!$A$5:$A$8</x:formula1>
    </x:dataValidation>
    <x:dataValidation type="list" sqref="D5:D18">
      <x:formula1>Listas!$J$5:$J$11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b0d3fd4b34a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3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58" hidden="0" customWidth="1"/>
  </x:cols>
  <x:sheetData>
    <x:row r="1" ht="30" customHeight="1">
      <x:c r="A1" s="68" t="str">
        <x:v>PERCENTUAIS DE REMUNERAÇÃO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Edite por modelo: quem recebe sobre setup, recorrência e/ou pool líquido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Modelo comercial</x:v>
      </x:c>
      <x:c r="B4" s="105" t="str">
        <x:v>Pessoa/Empresa</x:v>
      </x:c>
      <x:c r="C4" s="105" t="str">
        <x:v>Papel</x:v>
      </x:c>
      <x:c r="D4" s="105" t="str">
        <x:v>% Setup</x:v>
      </x:c>
      <x:c r="E4" s="105" t="str">
        <x:v>Valor Setup</x:v>
      </x:c>
      <x:c r="F4" s="105" t="str">
        <x:v>% Recorrência</x:v>
      </x:c>
      <x:c r="G4" s="105" t="str">
        <x:v>Valor Recorrência</x:v>
      </x:c>
      <x:c r="H4" s="105" t="str">
        <x:v>% Pool Líquido</x:v>
      </x:c>
      <x:c r="I4" s="105" t="str">
        <x:v>Valor Pool</x:v>
      </x:c>
      <x:c r="J4" s="105" t="str">
        <x:v>Observação</x:v>
      </x:c>
      <x:c r="K4" s="30"/>
    </x:row>
    <x:row r="5">
      <x:c r="A5" s="106" t="str">
        <x:v>Opção 2 - Apenas Recorrência</x:v>
      </x:c>
      <x:c r="B5" s="106" t="str">
        <x:v>UzzAI Empresa</x:v>
      </x:c>
      <x:c r="C5" s="106" t="str">
        <x:v>UzzAI Empresa</x:v>
      </x:c>
      <x:c r="D5" s="108" t="n">
        <x:v>0.15</x:v>
      </x:c>
      <x:c r="E5" s="109" t="n">
        <x:f>IF($A5=Dashboard!$B$8,Dashboard!$E$10*$D5,0)</x:f>
        <x:v>675</x:v>
      </x:c>
      <x:c r="F5" s="108" t="n">
        <x:v>0.25</x:v>
      </x:c>
      <x:c r="G5" s="109" t="n">
        <x:f>IF($A5=Dashboard!$B$8,Dashboard!$E$8*Dashboard!$E$9*$F5,0)</x:f>
        <x:v>13500</x:v>
      </x:c>
      <x:c r="H5" s="108" t="n">
        <x:v>0.22</x:v>
      </x:c>
      <x:c r="I5" s="109" t="n">
        <x:f>IF($A5=Dashboard!$B$8,Dashboard!$G$9*$H5,0)</x:f>
        <x:v>3927</x:v>
      </x:c>
      <x:c r="J5" s="106" t="str">
        <x:v>Caixa, operação, marca, administração e risco institucional</x:v>
      </x:c>
      <x:c r="K5" s="30"/>
    </x:row>
    <x:row r="6">
      <x:c r="A6" s="106" t="str">
        <x:v>Opção 2 - Apenas Recorrência</x:v>
      </x:c>
      <x:c r="B6" s="106" t="str">
        <x:v>Vítor / Comercial</x:v>
      </x:c>
      <x:c r="C6" s="106" t="str">
        <x:v>Comercial/Account</x:v>
      </x:c>
      <x:c r="D6" s="108" t="n">
        <x:v>0.1</x:v>
      </x:c>
      <x:c r="E6" s="109" t="n">
        <x:f>IF($A6=Dashboard!$B$8,Dashboard!$E$10*$D6,0)</x:f>
        <x:v>450</x:v>
      </x:c>
      <x:c r="F6" s="108" t="n">
        <x:v>0.08</x:v>
      </x:c>
      <x:c r="G6" s="109" t="n">
        <x:f>IF($A6=Dashboard!$B$8,Dashboard!$E$8*Dashboard!$E$9*$F6,0)</x:f>
        <x:v>4320</x:v>
      </x:c>
      <x:c r="H6" s="108" t="n">
        <x:v>0.08</x:v>
      </x:c>
      <x:c r="I6" s="109" t="n">
        <x:f>IF($A6=Dashboard!$B$8,Dashboard!$G$9*$H6,0)</x:f>
        <x:v>1428</x:v>
      </x:c>
      <x:c r="J6" s="106" t="str">
        <x:v>Venda, relacionamento, acompanhamento e expansão</x:v>
      </x:c>
      <x:c r="K6" s="30"/>
    </x:row>
    <x:row r="7">
      <x:c r="A7" s="106" t="str">
        <x:v>Opção 2 - Apenas Recorrência</x:v>
      </x:c>
      <x:c r="B7" s="106" t="str">
        <x:v>PM / Gestão</x:v>
      </x:c>
      <x:c r="C7" s="106" t="str">
        <x:v>Gestão/PM</x:v>
      </x:c>
      <x:c r="D7" s="108" t="n">
        <x:v>0.07</x:v>
      </x:c>
      <x:c r="E7" s="109" t="n">
        <x:f>IF($A7=Dashboard!$B$8,Dashboard!$E$10*$D7,0)</x:f>
        <x:v>315.00000000000006</x:v>
      </x:c>
      <x:c r="F7" s="108" t="n">
        <x:v>0.05</x:v>
      </x:c>
      <x:c r="G7" s="109" t="n">
        <x:f>IF($A7=Dashboard!$B$8,Dashboard!$E$8*Dashboard!$E$9*$F7,0)</x:f>
        <x:v>2700</x:v>
      </x:c>
      <x:c r="H7" s="108" t="n">
        <x:v>0.07</x:v>
      </x:c>
      <x:c r="I7" s="109" t="n">
        <x:f>IF($A7=Dashboard!$B$8,Dashboard!$G$9*$H7,0)</x:f>
        <x:v>1249.5000000000002</x:v>
      </x:c>
      <x:c r="J7" s="106" t="str">
        <x:v>Cronograma, cobrança, ritos e alinhamento com cliente</x:v>
      </x:c>
      <x:c r="K7" s="30"/>
    </x:row>
    <x:row r="8">
      <x:c r="A8" s="106" t="str">
        <x:v>Opção 2 - Apenas Recorrência</x:v>
      </x:c>
      <x:c r="B8" s="106" t="str">
        <x:v>Frontend / Produto</x:v>
      </x:c>
      <x:c r="C8" s="106" t="str">
        <x:v>Dev Frontend/Produto</x:v>
      </x:c>
      <x:c r="D8" s="108" t="n">
        <x:v>0.14</x:v>
      </x:c>
      <x:c r="E8" s="109" t="n">
        <x:f>IF($A8=Dashboard!$B$8,Dashboard!$E$10*$D8,0)</x:f>
        <x:v>630.0000000000001</x:v>
      </x:c>
      <x:c r="F8" s="108" t="n">
        <x:v>0.04</x:v>
      </x:c>
      <x:c r="G8" s="109" t="n">
        <x:f>IF($A8=Dashboard!$B$8,Dashboard!$E$8*Dashboard!$E$9*$F8,0)</x:f>
        <x:v>2160</x:v>
      </x:c>
      <x:c r="H8" s="108" t="n">
        <x:v>0.12</x:v>
      </x:c>
      <x:c r="I8" s="109" t="n">
        <x:f>IF($A8=Dashboard!$B$8,Dashboard!$G$9*$H8,0)</x:f>
        <x:v>2142</x:v>
      </x:c>
      <x:c r="J8" s="106" t="str">
        <x:v>Telas, PWA, UX de campo, dashboards e filtros</x:v>
      </x:c>
      <x:c r="K8" s="30"/>
    </x:row>
    <x:row r="9">
      <x:c r="A9" s="106" t="str">
        <x:v>Opção 2 - Apenas Recorrência</x:v>
      </x:c>
      <x:c r="B9" s="106" t="str">
        <x:v>Backend / Infra</x:v>
      </x:c>
      <x:c r="C9" s="106" t="str">
        <x:v>Dev Backend/Infra</x:v>
      </x:c>
      <x:c r="D9" s="108" t="n">
        <x:v>0.14</x:v>
      </x:c>
      <x:c r="E9" s="109" t="n">
        <x:f>IF($A9=Dashboard!$B$8,Dashboard!$E$10*$D9,0)</x:f>
        <x:v>630.0000000000001</x:v>
      </x:c>
      <x:c r="F9" s="108" t="n">
        <x:v>0.05</x:v>
      </x:c>
      <x:c r="G9" s="109" t="n">
        <x:f>IF($A9=Dashboard!$B$8,Dashboard!$E$8*Dashboard!$E$9*$F9,0)</x:f>
        <x:v>2700</x:v>
      </x:c>
      <x:c r="H9" s="108" t="n">
        <x:v>0.12</x:v>
      </x:c>
      <x:c r="I9" s="109" t="n">
        <x:f>IF($A9=Dashboard!$B$8,Dashboard!$G$9*$H9,0)</x:f>
        <x:v>2142</x:v>
      </x:c>
      <x:c r="J9" s="106" t="str">
        <x:v>Supabase, auth, RLS, APIs, storage, realtime e deploy</x:v>
      </x:c>
      <x:c r="K9" s="30"/>
    </x:row>
    <x:row r="10">
      <x:c r="A10" s="106" t="str">
        <x:v>Opção 2 - Apenas Recorrência</x:v>
      </x:c>
      <x:c r="B10" s="106" t="str">
        <x:v>Dados + Maps</x:v>
      </x:c>
      <x:c r="C10" s="106" t="str">
        <x:v>Dados/BI + GIS/Maps</x:v>
      </x:c>
      <x:c r="D10" s="108" t="n">
        <x:v>0.1</x:v>
      </x:c>
      <x:c r="E10" s="109" t="n">
        <x:f>IF($A10=Dashboard!$B$8,Dashboard!$E$10*$D10,0)</x:f>
        <x:v>450</x:v>
      </x:c>
      <x:c r="F10" s="108" t="n">
        <x:v>0.03</x:v>
      </x:c>
      <x:c r="G10" s="109" t="n">
        <x:f>IF($A10=Dashboard!$B$8,Dashboard!$E$8*Dashboard!$E$9*$F10,0)</x:f>
        <x:v>1620</x:v>
      </x:c>
      <x:c r="H10" s="108" t="n">
        <x:v>0.09</x:v>
      </x:c>
      <x:c r="I10" s="109" t="n">
        <x:f>IF($A10=Dashboard!$B$8,Dashboard!$G$9*$H10,0)</x:f>
        <x:v>1606.5</x:v>
      </x:c>
      <x:c r="J10" s="106" t="str">
        <x:v>Roteirização, rentabilidade, KPIs, gráficos e exportações</x:v>
      </x:c>
      <x:c r="K10" s="30"/>
    </x:row>
    <x:row r="11">
      <x:c r="A11" s="106" t="str">
        <x:v>Opção 2 - Apenas Recorrência</x:v>
      </x:c>
      <x:c r="B11" s="106" t="str">
        <x:v>Arquitetura / QA</x:v>
      </x:c>
      <x:c r="C11" s="106" t="str">
        <x:v>Arquitetura/QA</x:v>
      </x:c>
      <x:c r="D11" s="108" t="n">
        <x:v>0.08</x:v>
      </x:c>
      <x:c r="E11" s="109" t="n">
        <x:f>IF($A11=Dashboard!$B$8,Dashboard!$E$10*$D11,0)</x:f>
        <x:v>360</x:v>
      </x:c>
      <x:c r="F11" s="108" t="n">
        <x:v>0.02</x:v>
      </x:c>
      <x:c r="G11" s="109" t="n">
        <x:f>IF($A11=Dashboard!$B$8,Dashboard!$E$8*Dashboard!$E$9*$F11,0)</x:f>
        <x:v>1080</x:v>
      </x:c>
      <x:c r="H11" s="108" t="n">
        <x:v>0.09</x:v>
      </x:c>
      <x:c r="I11" s="109" t="n">
        <x:f>IF($A11=Dashboard!$B$8,Dashboard!$G$9*$H11,0)</x:f>
        <x:v>1606.5</x:v>
      </x:c>
      <x:c r="J11" s="106" t="str">
        <x:v>Code review, qualidade, testes, segurança e DoD</x:v>
      </x:c>
      <x:c r="K11" s="30"/>
    </x:row>
    <x:row r="12">
      <x:c r="A12" s="106" t="str">
        <x:v>Opção 2 - Apenas Recorrência</x:v>
      </x:c>
      <x:c r="B12" s="106" t="str">
        <x:v>Jurídico / LGPD</x:v>
      </x:c>
      <x:c r="C12" s="106" t="str">
        <x:v>Jurídico Contratual + Segurança/LGPD</x:v>
      </x:c>
      <x:c r="D12" s="108" t="n">
        <x:v>0.05</x:v>
      </x:c>
      <x:c r="E12" s="109" t="n">
        <x:f>IF($A12=Dashboard!$B$8,Dashboard!$E$10*$D12,0)</x:f>
        <x:v>225</x:v>
      </x:c>
      <x:c r="F12" s="108" t="n">
        <x:v>0</x:v>
      </x:c>
      <x:c r="G12" s="109" t="n">
        <x:f>IF($A12=Dashboard!$B$8,Dashboard!$E$8*Dashboard!$E$9*$F12,0)</x:f>
        <x:v>0</x:v>
      </x:c>
      <x:c r="H12" s="108" t="n">
        <x:v>0.04</x:v>
      </x:c>
      <x:c r="I12" s="109" t="n">
        <x:f>IF($A12=Dashboard!$B$8,Dashboard!$G$9*$H12,0)</x:f>
        <x:v>714</x:v>
      </x:c>
      <x:c r="J12" s="106" t="str">
        <x:v>Contrato, NDA, termos, SLA, IP, retenção e privacidade</x:v>
      </x:c>
      <x:c r="K12" s="30"/>
    </x:row>
    <x:row r="13">
      <x:c r="A13" s="106" t="str">
        <x:v>Opção 2 - Apenas Recorrência</x:v>
      </x:c>
      <x:c r="B13" s="106" t="str">
        <x:v>CS / Suporte</x:v>
      </x:c>
      <x:c r="C13" s="106" t="str">
        <x:v>CS/Treinamento + Suporte Técnico</x:v>
      </x:c>
      <x:c r="D13" s="108" t="n">
        <x:v>0.04</x:v>
      </x:c>
      <x:c r="E13" s="109" t="n">
        <x:f>IF($A13=Dashboard!$B$8,Dashboard!$E$10*$D13,0)</x:f>
        <x:v>180</x:v>
      </x:c>
      <x:c r="F13" s="108" t="n">
        <x:v>0.13</x:v>
      </x:c>
      <x:c r="G13" s="109" t="n">
        <x:f>IF($A13=Dashboard!$B$8,Dashboard!$E$8*Dashboard!$E$9*$F13,0)</x:f>
        <x:v>7020</x:v>
      </x:c>
      <x:c r="H13" s="108" t="n">
        <x:v>0.05</x:v>
      </x:c>
      <x:c r="I13" s="109" t="n">
        <x:f>IF($A13=Dashboard!$B$8,Dashboard!$G$9*$H13,0)</x:f>
        <x:v>892.5</x:v>
      </x:c>
      <x:c r="J13" s="106" t="str">
        <x:v>Treinamento, ativação, suporte mensal e sucesso do cliente</x:v>
      </x:c>
      <x:c r="K13" s="30"/>
    </x:row>
    <x:row r="14">
      <x:c r="A14" s="106" t="str">
        <x:v>Opção 2 - Apenas Recorrência</x:v>
      </x:c>
      <x:c r="B14" s="106" t="str">
        <x:v>Reserva Produto</x:v>
      </x:c>
      <x:c r="C14" s="106" t="str">
        <x:v>Reserva/Produto</x:v>
      </x:c>
      <x:c r="D14" s="108" t="n">
        <x:v>0.13</x:v>
      </x:c>
      <x:c r="E14" s="109" t="n">
        <x:f>IF($A14=Dashboard!$B$8,Dashboard!$E$10*$D14,0)</x:f>
        <x:v>585</x:v>
      </x:c>
      <x:c r="F14" s="108" t="n">
        <x:v>0.35</x:v>
      </x:c>
      <x:c r="G14" s="109" t="n">
        <x:f>IF($A14=Dashboard!$B$8,Dashboard!$E$8*Dashboard!$E$9*$F14,0)</x:f>
        <x:v>18900</x:v>
      </x:c>
      <x:c r="H14" s="108" t="n">
        <x:v>0.12</x:v>
      </x:c>
      <x:c r="I14" s="109" t="n">
        <x:f>IF($A14=Dashboard!$B$8,Dashboard!$G$9*$H14,0)</x:f>
        <x:v>2142</x:v>
      </x:c>
      <x:c r="J14" s="106" t="str">
        <x:v>Reserva para evolução, inadimplência, custos extras de API e produto</x:v>
      </x:c>
      <x:c r="K14" s="30"/>
    </x:row>
    <x:row r="15">
      <x:c r="A15" s="106" t="str">
        <x:v>TOTAL MODELO SELECIONADO</x:v>
      </x:c>
      <x:c r="B15" s="106"/>
      <x:c r="C15" s="106"/>
      <x:c r="D15" s="108" t="n">
        <x:f>SUM(D5:D14)</x:f>
        <x:v>1</x:v>
      </x:c>
      <x:c r="E15" s="109" t="n">
        <x:f>SUM(E5:E14)</x:f>
        <x:v>4500</x:v>
      </x:c>
      <x:c r="F15" s="108" t="n">
        <x:f>SUM(F5:F14)</x:f>
        <x:v>1</x:v>
      </x:c>
      <x:c r="G15" s="109" t="n">
        <x:f>SUM(G5:G14)</x:f>
        <x:v>54000</x:v>
      </x:c>
      <x:c r="H15" s="108" t="n">
        <x:f>SUM(H5:H14)</x:f>
        <x:v>1</x:v>
      </x:c>
      <x:c r="I15" s="109" t="n">
        <x:f>SUM(I5:I14)</x:f>
        <x:v>17850</x:v>
      </x:c>
      <x:c r="J15" s="106" t="str">
        <x:v>Controle: deve fechar 100% em Setup, Recorrência e Pool</x:v>
      </x:c>
      <x:c r="K15" s="30"/>
    </x:row>
    <x:row r="16">
      <x:c r="A16" s="30"/>
      <x:c r="B16" s="30"/>
      <x:c r="C16" s="30"/>
      <x:c r="D16" s="77"/>
      <x:c r="E16" s="74"/>
      <x:c r="F16" s="77"/>
      <x:c r="G16" s="74"/>
      <x:c r="H16" s="77"/>
      <x:c r="I16" s="74"/>
      <x:c r="J16" s="30"/>
      <x:c r="K16" s="30"/>
    </x:row>
    <x:row r="17">
      <x:c r="A17" s="30"/>
      <x:c r="B17" s="30"/>
      <x:c r="C17" s="30"/>
      <x:c r="D17" s="77"/>
      <x:c r="E17" s="74"/>
      <x:c r="F17" s="77"/>
      <x:c r="G17" s="74"/>
      <x:c r="H17" s="77"/>
      <x:c r="I17" s="74"/>
      <x:c r="J17" s="30"/>
      <x:c r="K17" s="30"/>
    </x:row>
    <x:row r="18">
      <x:c r="A18" s="30"/>
      <x:c r="B18" s="30"/>
      <x:c r="C18" s="30"/>
      <x:c r="D18" s="77"/>
      <x:c r="E18" s="74"/>
      <x:c r="F18" s="77"/>
      <x:c r="G18" s="74"/>
      <x:c r="H18" s="77"/>
      <x:c r="I18" s="74"/>
      <x:c r="J18" s="30"/>
      <x:c r="K18" s="30"/>
    </x:row>
    <x:row r="19">
      <x:c r="A19" s="30"/>
      <x:c r="B19" s="30"/>
      <x:c r="C19" s="30"/>
      <x:c r="D19" s="77"/>
      <x:c r="E19" s="74"/>
      <x:c r="F19" s="77"/>
      <x:c r="G19" s="74"/>
      <x:c r="H19" s="77"/>
      <x:c r="I19" s="74"/>
      <x:c r="J19" s="30"/>
      <x:c r="K19" s="30"/>
    </x:row>
    <x:row r="20">
      <x:c r="A20" s="30"/>
      <x:c r="B20" s="30"/>
      <x:c r="C20" s="30"/>
      <x:c r="D20" s="77"/>
      <x:c r="E20" s="74"/>
      <x:c r="F20" s="77"/>
      <x:c r="G20" s="74"/>
      <x:c r="H20" s="77"/>
      <x:c r="I20" s="74"/>
      <x:c r="J20" s="30"/>
      <x:c r="K20" s="30"/>
    </x:row>
    <x:row r="21">
      <x:c r="A21" s="30"/>
      <x:c r="B21" s="30"/>
      <x:c r="C21" s="30"/>
      <x:c r="D21" s="77"/>
      <x:c r="E21" s="74"/>
      <x:c r="F21" s="77"/>
      <x:c r="G21" s="74"/>
      <x:c r="H21" s="77"/>
      <x:c r="I21" s="74"/>
      <x:c r="J21" s="30"/>
      <x:c r="K21" s="30"/>
    </x:row>
    <x:row r="22">
      <x:c r="A22" s="30"/>
      <x:c r="B22" s="30"/>
      <x:c r="C22" s="30"/>
      <x:c r="D22" s="77"/>
      <x:c r="E22" s="74"/>
      <x:c r="F22" s="77"/>
      <x:c r="G22" s="74"/>
      <x:c r="H22" s="77"/>
      <x:c r="I22" s="74"/>
      <x:c r="J22" s="30"/>
      <x:c r="K22" s="30"/>
    </x:row>
    <x:row r="23">
      <x:c r="A23" s="30"/>
      <x:c r="B23" s="30"/>
      <x:c r="C23" s="30"/>
      <x:c r="D23" s="77"/>
      <x:c r="E23" s="74"/>
      <x:c r="F23" s="77"/>
      <x:c r="G23" s="74"/>
      <x:c r="H23" s="77"/>
      <x:c r="I23" s="74"/>
      <x:c r="J23" s="30"/>
      <x:c r="K23" s="30"/>
    </x:row>
    <x:row r="24">
      <x:c r="A24" s="30"/>
      <x:c r="B24" s="30"/>
      <x:c r="C24" s="30"/>
      <x:c r="D24" s="77"/>
      <x:c r="E24" s="74"/>
      <x:c r="F24" s="77"/>
      <x:c r="G24" s="74"/>
      <x:c r="H24" s="77"/>
      <x:c r="I24" s="74"/>
      <x:c r="J24" s="30"/>
      <x:c r="K24" s="30"/>
    </x:row>
    <x:row r="25">
      <x:c r="A25" s="30"/>
      <x:c r="B25" s="30"/>
      <x:c r="C25" s="30"/>
      <x:c r="D25" s="77"/>
      <x:c r="E25" s="74"/>
      <x:c r="F25" s="77"/>
      <x:c r="G25" s="74"/>
      <x:c r="H25" s="77"/>
      <x:c r="I25" s="74"/>
      <x:c r="J25" s="30"/>
      <x:c r="K25" s="30"/>
    </x:row>
    <x:row r="26">
      <x:c r="A26" s="30"/>
      <x:c r="B26" s="30"/>
      <x:c r="C26" s="30"/>
      <x:c r="D26" s="77"/>
      <x:c r="E26" s="74"/>
      <x:c r="F26" s="77"/>
      <x:c r="G26" s="74"/>
      <x:c r="H26" s="77"/>
      <x:c r="I26" s="74"/>
      <x:c r="J26" s="30"/>
      <x:c r="K26" s="30"/>
    </x:row>
    <x:row r="27">
      <x:c r="A27" s="30"/>
      <x:c r="B27" s="30"/>
      <x:c r="C27" s="30"/>
      <x:c r="D27" s="77"/>
      <x:c r="E27" s="74"/>
      <x:c r="F27" s="77"/>
      <x:c r="G27" s="74"/>
      <x:c r="H27" s="77"/>
      <x:c r="I27" s="74"/>
      <x:c r="J27" s="30"/>
      <x:c r="K27" s="30"/>
    </x:row>
    <x:row r="28">
      <x:c r="A28" s="30"/>
      <x:c r="B28" s="30"/>
      <x:c r="C28" s="30"/>
      <x:c r="D28" s="77"/>
      <x:c r="E28" s="74"/>
      <x:c r="F28" s="77"/>
      <x:c r="G28" s="74"/>
      <x:c r="H28" s="77"/>
      <x:c r="I28" s="74"/>
      <x:c r="J28" s="30"/>
      <x:c r="K28" s="30"/>
    </x:row>
    <x:row r="29">
      <x:c r="A29" s="30"/>
      <x:c r="B29" s="30"/>
      <x:c r="C29" s="30"/>
      <x:c r="D29" s="77"/>
      <x:c r="E29" s="74"/>
      <x:c r="F29" s="77"/>
      <x:c r="G29" s="74"/>
      <x:c r="H29" s="77"/>
      <x:c r="I29" s="74"/>
      <x:c r="J29" s="30"/>
      <x:c r="K29" s="30"/>
    </x:row>
    <x:row r="30">
      <x:c r="A30" s="30"/>
      <x:c r="B30" s="30"/>
      <x:c r="C30" s="30"/>
      <x:c r="D30" s="77"/>
      <x:c r="E30" s="74"/>
      <x:c r="F30" s="77"/>
      <x:c r="G30" s="74"/>
      <x:c r="H30" s="77"/>
      <x:c r="I30" s="74"/>
      <x:c r="J30" s="30"/>
      <x:c r="K30" s="30"/>
    </x:row>
    <x:row r="31">
      <x:c r="A31" s="30"/>
      <x:c r="B31" s="30"/>
      <x:c r="C31" s="30"/>
      <x:c r="D31" s="77"/>
      <x:c r="E31" s="74"/>
      <x:c r="F31" s="77"/>
      <x:c r="G31" s="74"/>
      <x:c r="H31" s="77"/>
      <x:c r="I31" s="74"/>
      <x:c r="J31" s="30"/>
      <x:c r="K31" s="30"/>
    </x:row>
    <x:row r="32">
      <x:c r="A32" s="30"/>
      <x:c r="B32" s="30"/>
      <x:c r="C32" s="30"/>
      <x:c r="D32" s="77"/>
      <x:c r="E32" s="74"/>
      <x:c r="F32" s="77"/>
      <x:c r="G32" s="74"/>
      <x:c r="H32" s="77"/>
      <x:c r="I32" s="74"/>
      <x:c r="J32" s="30"/>
      <x:c r="K32" s="30"/>
    </x:row>
    <x:row r="33">
      <x:c r="A33" s="30"/>
      <x:c r="B33" s="30"/>
      <x:c r="C33" s="30"/>
      <x:c r="D33" s="77"/>
      <x:c r="E33" s="74"/>
      <x:c r="F33" s="77"/>
      <x:c r="G33" s="74"/>
      <x:c r="H33" s="77"/>
      <x:c r="I33" s="74"/>
      <x:c r="J33" s="30"/>
      <x:c r="K33" s="30"/>
    </x:row>
    <x:row r="34">
      <x:c r="A34" s="30"/>
      <x:c r="B34" s="30"/>
      <x:c r="C34" s="30"/>
      <x:c r="D34" s="77"/>
      <x:c r="E34" s="74"/>
      <x:c r="F34" s="77"/>
      <x:c r="G34" s="74"/>
      <x:c r="H34" s="77"/>
      <x:c r="I34" s="74"/>
      <x:c r="J34" s="30"/>
      <x:c r="K34" s="30"/>
    </x:row>
    <x:row r="35">
      <x:c r="A35" s="30"/>
      <x:c r="B35" s="30"/>
      <x:c r="C35" s="30"/>
      <x:c r="D35" s="77"/>
      <x:c r="E35" s="74"/>
      <x:c r="F35" s="77"/>
      <x:c r="G35" s="74"/>
      <x:c r="H35" s="77"/>
      <x:c r="I35" s="74"/>
      <x:c r="J35" s="30"/>
      <x:c r="K35" s="30"/>
    </x:row>
    <x:row r="36">
      <x:c r="A36" s="30"/>
      <x:c r="B36" s="30"/>
      <x:c r="C36" s="30"/>
      <x:c r="D36" s="77"/>
      <x:c r="E36" s="74"/>
      <x:c r="F36" s="77"/>
      <x:c r="G36" s="74"/>
      <x:c r="H36" s="77"/>
      <x:c r="I36" s="74"/>
      <x:c r="J36" s="30"/>
      <x:c r="K36" s="30"/>
    </x:row>
    <x:row r="37">
      <x:c r="A37" s="30"/>
      <x:c r="B37" s="30"/>
      <x:c r="C37" s="30"/>
      <x:c r="D37" s="77"/>
      <x:c r="E37" s="74"/>
      <x:c r="F37" s="77"/>
      <x:c r="G37" s="74"/>
      <x:c r="H37" s="77"/>
      <x:c r="I37" s="74"/>
      <x:c r="J37" s="30"/>
      <x:c r="K37" s="30"/>
    </x:row>
    <x:row r="38">
      <x:c r="A38" s="30"/>
      <x:c r="B38" s="30"/>
      <x:c r="C38" s="30"/>
      <x:c r="D38" s="77"/>
      <x:c r="E38" s="74"/>
      <x:c r="F38" s="77"/>
      <x:c r="G38" s="74"/>
      <x:c r="H38" s="77"/>
      <x:c r="I38" s="74"/>
      <x:c r="J38" s="30"/>
      <x:c r="K38" s="30"/>
    </x:row>
    <x:row r="39">
      <x:c r="A39" s="30"/>
      <x:c r="B39" s="30"/>
      <x:c r="C39" s="30"/>
      <x:c r="D39" s="77"/>
      <x:c r="E39" s="74"/>
      <x:c r="F39" s="77"/>
      <x:c r="G39" s="74"/>
      <x:c r="H39" s="77"/>
      <x:c r="I39" s="74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2">
    <x:dataValidation type="list" sqref="A5:A39">
      <x:formula1>Listas!$B$5:$B$9</x:formula1>
    </x:dataValidation>
    <x:dataValidation type="list" sqref="C5:C39">
      <x:formula1>Listas!$J$5:$J$11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e547510ef844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3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6" hidden="0" customWidth="1"/>
    <x:col min="11" max="11" width="58" hidden="0" customWidth="1"/>
  </x:cols>
  <x:sheetData>
    <x:row r="1" ht="30" customHeight="1">
      <x:c r="A1" s="68" t="str">
        <x:v>DISTRIBUIÇÃO AUTOMÁTICA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</x:row>
    <x:row r="2" ht="24" customHeight="1">
      <x:c r="A2" s="69" t="str">
        <x:v>Mostra valores por pessoa/empresa conforme modelo selecionado no Dashboard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3" customHeight="1">
      <x:c r="A4" s="117" t="str">
        <x:v>Resumo por base</x:v>
      </x:c>
      <x:c r="B4" s="117"/>
      <x:c r="C4" s="117"/>
      <x:c r="D4" s="117"/>
      <x:c r="E4" s="117"/>
      <x:c r="F4" s="117"/>
      <x:c r="G4" s="117"/>
      <x:c r="H4" s="117"/>
      <x:c r="I4" s="117"/>
      <x:c r="J4" s="117"/>
      <x:c r="K4" s="117"/>
    </x:row>
    <x:row r="5" ht="26" customHeight="1">
      <x:c r="A5" s="105" t="str">
        <x:v>Base</x:v>
      </x:c>
      <x:c r="B5" s="105" t="str">
        <x:v>Valor</x:v>
      </x:c>
      <x:c r="C5" s="105" t="str">
        <x:v>Observação</x:v>
      </x:c>
      <x:c r="D5" s="30"/>
      <x:c r="E5" s="30"/>
      <x:c r="F5" s="30"/>
      <x:c r="G5" s="30"/>
      <x:c r="H5" s="30"/>
      <x:c r="I5" s="30"/>
      <x:c r="J5" s="30"/>
      <x:c r="K5" s="30"/>
    </x:row>
    <x:row r="6">
      <x:c r="A6" s="30" t="str">
        <x:v>Setup total selecionado</x:v>
      </x:c>
      <x:c r="B6" s="74" t="n">
        <x:f>Dashboard!E10</x:f>
        <x:v>4500</x:v>
      </x:c>
      <x:c r="C6" s="30" t="str">
        <x:v>Sinal + entrega + intermediário</x:v>
      </x:c>
      <x:c r="D6" s="30"/>
      <x:c r="E6" s="30"/>
      <x:c r="F6" s="30"/>
      <x:c r="G6" s="30"/>
      <x:c r="H6" s="30"/>
      <x:c r="I6" s="30"/>
      <x:c r="J6" s="30"/>
      <x:c r="K6" s="30"/>
    </x:row>
    <x:row r="7">
      <x:c r="A7" s="30" t="str">
        <x:v>Recorrência total</x:v>
      </x:c>
      <x:c r="B7" s="74" t="n">
        <x:f>Dashboard!E8*Dashboard!E9</x:f>
        <x:v>54000</x:v>
      </x:c>
      <x:c r="C7" s="30" t="str">
        <x:v>Mensalidade × meses</x:v>
      </x:c>
      <x:c r="D7" s="30"/>
      <x:c r="E7" s="30"/>
      <x:c r="F7" s="30"/>
      <x:c r="G7" s="30"/>
      <x:c r="H7" s="30"/>
      <x:c r="I7" s="30"/>
      <x:c r="J7" s="30"/>
      <x:c r="K7" s="30"/>
    </x:row>
    <x:row r="8">
      <x:c r="A8" s="30" t="str">
        <x:v>Pool líquido</x:v>
      </x:c>
      <x:c r="B8" s="74" t="n">
        <x:f>Dashboard!G9</x:f>
        <x:v>17850</x:v>
      </x:c>
      <x:c r="C8" s="30" t="str">
        <x:v>Receita - impostos - custos diretos - custos recorrentes</x:v>
      </x:c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 ht="23" customHeight="1">
      <x:c r="A10" s="117" t="str">
        <x:v>Distribuição por participante</x:v>
      </x:c>
      <x:c r="B10" s="117"/>
      <x:c r="C10" s="117"/>
      <x:c r="D10" s="117"/>
      <x:c r="E10" s="117"/>
      <x:c r="F10" s="117"/>
      <x:c r="G10" s="117"/>
      <x:c r="H10" s="117"/>
      <x:c r="I10" s="117"/>
      <x:c r="J10" s="117"/>
      <x:c r="K10" s="117"/>
    </x:row>
    <x:row r="11" ht="26" customHeight="1">
      <x:c r="A11" s="105" t="str">
        <x:v>Modelo</x:v>
      </x:c>
      <x:c r="B11" s="105" t="str">
        <x:v>Pessoa/Empresa</x:v>
      </x:c>
      <x:c r="C11" s="105" t="str">
        <x:v>Papel</x:v>
      </x:c>
      <x:c r="D11" s="105" t="str">
        <x:v>% Setup</x:v>
      </x:c>
      <x:c r="E11" s="105" t="str">
        <x:v>Valor Setup</x:v>
      </x:c>
      <x:c r="F11" s="105" t="str">
        <x:v>% Recorrência</x:v>
      </x:c>
      <x:c r="G11" s="105" t="str">
        <x:v>Valor Recorrência</x:v>
      </x:c>
      <x:c r="H11" s="105" t="str">
        <x:v>% Pool</x:v>
      </x:c>
      <x:c r="I11" s="105" t="str">
        <x:v>Valor Pool</x:v>
      </x:c>
      <x:c r="J11" s="105" t="str">
        <x:v>Total</x:v>
      </x:c>
      <x:c r="K11" s="105" t="str">
        <x:v>Observação</x:v>
      </x:c>
    </x:row>
    <x:row r="12">
      <x:c r="A12" s="106" t="str">
        <x:f>Percentuais!A5</x:f>
        <x:v>Opção 2 - Apenas Recorrência</x:v>
      </x:c>
      <x:c r="B12" s="106" t="str">
        <x:f>Percentuais!B5</x:f>
        <x:v>UzzAI Empresa</x:v>
      </x:c>
      <x:c r="C12" s="106" t="str">
        <x:f>Percentuais!C5</x:f>
        <x:v>UzzAI Empresa</x:v>
      </x:c>
      <x:c r="D12" s="108" t="n">
        <x:f>Percentuais!D5</x:f>
        <x:v>0.15</x:v>
      </x:c>
      <x:c r="E12" s="109" t="n">
        <x:f>Percentuais!E5</x:f>
        <x:v>675</x:v>
      </x:c>
      <x:c r="F12" s="108" t="n">
        <x:f>Percentuais!F5</x:f>
        <x:v>0.25</x:v>
      </x:c>
      <x:c r="G12" s="109" t="n">
        <x:f>Percentuais!G5</x:f>
        <x:v>13500</x:v>
      </x:c>
      <x:c r="H12" s="108" t="n">
        <x:f>Percentuais!H5</x:f>
        <x:v>0.22</x:v>
      </x:c>
      <x:c r="I12" s="109" t="n">
        <x:f>Percentuais!I5</x:f>
        <x:v>3927</x:v>
      </x:c>
      <x:c r="J12" s="109" t="n">
        <x:f>E12+G12+I12</x:f>
        <x:v>18102</x:v>
      </x:c>
      <x:c r="K12" s="106" t="str">
        <x:f>Percentuais!J5</x:f>
        <x:v>Caixa, operação, marca, administração e risco institucional</x:v>
      </x:c>
    </x:row>
    <x:row r="13">
      <x:c r="A13" s="106" t="str">
        <x:f>Percentuais!A6</x:f>
        <x:v>Opção 2 - Apenas Recorrência</x:v>
      </x:c>
      <x:c r="B13" s="106" t="str">
        <x:f>Percentuais!B6</x:f>
        <x:v>Vítor / Comercial</x:v>
      </x:c>
      <x:c r="C13" s="106" t="str">
        <x:f>Percentuais!C6</x:f>
        <x:v>Comercial/Account</x:v>
      </x:c>
      <x:c r="D13" s="108" t="n">
        <x:f>Percentuais!D6</x:f>
        <x:v>0.1</x:v>
      </x:c>
      <x:c r="E13" s="109" t="n">
        <x:f>Percentuais!E6</x:f>
        <x:v>450</x:v>
      </x:c>
      <x:c r="F13" s="108" t="n">
        <x:f>Percentuais!F6</x:f>
        <x:v>0.08</x:v>
      </x:c>
      <x:c r="G13" s="109" t="n">
        <x:f>Percentuais!G6</x:f>
        <x:v>4320</x:v>
      </x:c>
      <x:c r="H13" s="108" t="n">
        <x:f>Percentuais!H6</x:f>
        <x:v>0.08</x:v>
      </x:c>
      <x:c r="I13" s="109" t="n">
        <x:f>Percentuais!I6</x:f>
        <x:v>1428</x:v>
      </x:c>
      <x:c r="J13" s="109" t="n">
        <x:f>E13+G13+I13</x:f>
        <x:v>6198</x:v>
      </x:c>
      <x:c r="K13" s="106" t="str">
        <x:f>Percentuais!J6</x:f>
        <x:v>Venda, relacionamento, acompanhamento e expansão</x:v>
      </x:c>
    </x:row>
    <x:row r="14">
      <x:c r="A14" s="106" t="str">
        <x:f>Percentuais!A7</x:f>
        <x:v>Opção 2 - Apenas Recorrência</x:v>
      </x:c>
      <x:c r="B14" s="106" t="str">
        <x:f>Percentuais!B7</x:f>
        <x:v>PM / Gestão</x:v>
      </x:c>
      <x:c r="C14" s="106" t="str">
        <x:f>Percentuais!C7</x:f>
        <x:v>Gestão/PM</x:v>
      </x:c>
      <x:c r="D14" s="108" t="n">
        <x:f>Percentuais!D7</x:f>
        <x:v>0.07</x:v>
      </x:c>
      <x:c r="E14" s="109" t="n">
        <x:f>Percentuais!E7</x:f>
        <x:v>315.00000000000006</x:v>
      </x:c>
      <x:c r="F14" s="108" t="n">
        <x:f>Percentuais!F7</x:f>
        <x:v>0.05</x:v>
      </x:c>
      <x:c r="G14" s="109" t="n">
        <x:f>Percentuais!G7</x:f>
        <x:v>2700</x:v>
      </x:c>
      <x:c r="H14" s="108" t="n">
        <x:f>Percentuais!H7</x:f>
        <x:v>0.07</x:v>
      </x:c>
      <x:c r="I14" s="109" t="n">
        <x:f>Percentuais!I7</x:f>
        <x:v>1249.5000000000002</x:v>
      </x:c>
      <x:c r="J14" s="109" t="n">
        <x:f>E14+G14+I14</x:f>
        <x:v>4264.5</x:v>
      </x:c>
      <x:c r="K14" s="106" t="str">
        <x:f>Percentuais!J7</x:f>
        <x:v>Cronograma, cobrança, ritos e alinhamento com cliente</x:v>
      </x:c>
    </x:row>
    <x:row r="15">
      <x:c r="A15" s="106" t="str">
        <x:f>Percentuais!A8</x:f>
        <x:v>Opção 2 - Apenas Recorrência</x:v>
      </x:c>
      <x:c r="B15" s="106" t="str">
        <x:f>Percentuais!B8</x:f>
        <x:v>Frontend / Produto</x:v>
      </x:c>
      <x:c r="C15" s="106" t="str">
        <x:f>Percentuais!C8</x:f>
        <x:v>Dev Frontend/Produto</x:v>
      </x:c>
      <x:c r="D15" s="108" t="n">
        <x:f>Percentuais!D8</x:f>
        <x:v>0.14</x:v>
      </x:c>
      <x:c r="E15" s="109" t="n">
        <x:f>Percentuais!E8</x:f>
        <x:v>630.0000000000001</x:v>
      </x:c>
      <x:c r="F15" s="108" t="n">
        <x:f>Percentuais!F8</x:f>
        <x:v>0.04</x:v>
      </x:c>
      <x:c r="G15" s="109" t="n">
        <x:f>Percentuais!G8</x:f>
        <x:v>2160</x:v>
      </x:c>
      <x:c r="H15" s="108" t="n">
        <x:f>Percentuais!H8</x:f>
        <x:v>0.12</x:v>
      </x:c>
      <x:c r="I15" s="109" t="n">
        <x:f>Percentuais!I8</x:f>
        <x:v>2142</x:v>
      </x:c>
      <x:c r="J15" s="109" t="n">
        <x:f>E15+G15+I15</x:f>
        <x:v>4932</x:v>
      </x:c>
      <x:c r="K15" s="106" t="str">
        <x:f>Percentuais!J8</x:f>
        <x:v>Telas, PWA, UX de campo, dashboards e filtros</x:v>
      </x:c>
    </x:row>
    <x:row r="16">
      <x:c r="A16" s="106" t="str">
        <x:f>Percentuais!A9</x:f>
        <x:v>Opção 2 - Apenas Recorrência</x:v>
      </x:c>
      <x:c r="B16" s="106" t="str">
        <x:f>Percentuais!B9</x:f>
        <x:v>Backend / Infra</x:v>
      </x:c>
      <x:c r="C16" s="106" t="str">
        <x:f>Percentuais!C9</x:f>
        <x:v>Dev Backend/Infra</x:v>
      </x:c>
      <x:c r="D16" s="108" t="n">
        <x:f>Percentuais!D9</x:f>
        <x:v>0.14</x:v>
      </x:c>
      <x:c r="E16" s="109" t="n">
        <x:f>Percentuais!E9</x:f>
        <x:v>630.0000000000001</x:v>
      </x:c>
      <x:c r="F16" s="108" t="n">
        <x:f>Percentuais!F9</x:f>
        <x:v>0.05</x:v>
      </x:c>
      <x:c r="G16" s="109" t="n">
        <x:f>Percentuais!G9</x:f>
        <x:v>2700</x:v>
      </x:c>
      <x:c r="H16" s="108" t="n">
        <x:f>Percentuais!H9</x:f>
        <x:v>0.12</x:v>
      </x:c>
      <x:c r="I16" s="109" t="n">
        <x:f>Percentuais!I9</x:f>
        <x:v>2142</x:v>
      </x:c>
      <x:c r="J16" s="109" t="n">
        <x:f>E16+G16+I16</x:f>
        <x:v>5472</x:v>
      </x:c>
      <x:c r="K16" s="106" t="str">
        <x:f>Percentuais!J9</x:f>
        <x:v>Supabase, auth, RLS, APIs, storage, realtime e deploy</x:v>
      </x:c>
    </x:row>
    <x:row r="17">
      <x:c r="A17" s="106" t="str">
        <x:f>Percentuais!A10</x:f>
        <x:v>Opção 2 - Apenas Recorrência</x:v>
      </x:c>
      <x:c r="B17" s="106" t="str">
        <x:f>Percentuais!B10</x:f>
        <x:v>Dados + Maps</x:v>
      </x:c>
      <x:c r="C17" s="106" t="str">
        <x:f>Percentuais!C10</x:f>
        <x:v>Dados/BI + GIS/Maps</x:v>
      </x:c>
      <x:c r="D17" s="108" t="n">
        <x:f>Percentuais!D10</x:f>
        <x:v>0.1</x:v>
      </x:c>
      <x:c r="E17" s="109" t="n">
        <x:f>Percentuais!E10</x:f>
        <x:v>450</x:v>
      </x:c>
      <x:c r="F17" s="108" t="n">
        <x:f>Percentuais!F10</x:f>
        <x:v>0.03</x:v>
      </x:c>
      <x:c r="G17" s="109" t="n">
        <x:f>Percentuais!G10</x:f>
        <x:v>1620</x:v>
      </x:c>
      <x:c r="H17" s="108" t="n">
        <x:f>Percentuais!H10</x:f>
        <x:v>0.09</x:v>
      </x:c>
      <x:c r="I17" s="109" t="n">
        <x:f>Percentuais!I10</x:f>
        <x:v>1606.5</x:v>
      </x:c>
      <x:c r="J17" s="109" t="n">
        <x:f>E17+G17+I17</x:f>
        <x:v>3676.5</x:v>
      </x:c>
      <x:c r="K17" s="106" t="str">
        <x:f>Percentuais!J10</x:f>
        <x:v>Roteirização, rentabilidade, KPIs, gráficos e exportações</x:v>
      </x:c>
    </x:row>
    <x:row r="18">
      <x:c r="A18" s="106" t="str">
        <x:f>Percentuais!A11</x:f>
        <x:v>Opção 2 - Apenas Recorrência</x:v>
      </x:c>
      <x:c r="B18" s="106" t="str">
        <x:f>Percentuais!B11</x:f>
        <x:v>Arquitetura / QA</x:v>
      </x:c>
      <x:c r="C18" s="106" t="str">
        <x:f>Percentuais!C11</x:f>
        <x:v>Arquitetura/QA</x:v>
      </x:c>
      <x:c r="D18" s="108" t="n">
        <x:f>Percentuais!D11</x:f>
        <x:v>0.08</x:v>
      </x:c>
      <x:c r="E18" s="109" t="n">
        <x:f>Percentuais!E11</x:f>
        <x:v>360</x:v>
      </x:c>
      <x:c r="F18" s="108" t="n">
        <x:f>Percentuais!F11</x:f>
        <x:v>0.02</x:v>
      </x:c>
      <x:c r="G18" s="109" t="n">
        <x:f>Percentuais!G11</x:f>
        <x:v>1080</x:v>
      </x:c>
      <x:c r="H18" s="108" t="n">
        <x:f>Percentuais!H11</x:f>
        <x:v>0.09</x:v>
      </x:c>
      <x:c r="I18" s="109" t="n">
        <x:f>Percentuais!I11</x:f>
        <x:v>1606.5</x:v>
      </x:c>
      <x:c r="J18" s="109" t="n">
        <x:f>E18+G18+I18</x:f>
        <x:v>3046.5</x:v>
      </x:c>
      <x:c r="K18" s="106" t="str">
        <x:f>Percentuais!J11</x:f>
        <x:v>Code review, qualidade, testes, segurança e DoD</x:v>
      </x:c>
    </x:row>
    <x:row r="19">
      <x:c r="A19" s="106" t="str">
        <x:f>Percentuais!A12</x:f>
        <x:v>Opção 2 - Apenas Recorrência</x:v>
      </x:c>
      <x:c r="B19" s="106" t="str">
        <x:f>Percentuais!B12</x:f>
        <x:v>Jurídico / LGPD</x:v>
      </x:c>
      <x:c r="C19" s="106" t="str">
        <x:f>Percentuais!C12</x:f>
        <x:v>Jurídico Contratual + Segurança/LGPD</x:v>
      </x:c>
      <x:c r="D19" s="108" t="n">
        <x:f>Percentuais!D12</x:f>
        <x:v>0.05</x:v>
      </x:c>
      <x:c r="E19" s="109" t="n">
        <x:f>Percentuais!E12</x:f>
        <x:v>225</x:v>
      </x:c>
      <x:c r="F19" s="108" t="n">
        <x:f>Percentuais!F12</x:f>
        <x:v>0</x:v>
      </x:c>
      <x:c r="G19" s="109" t="n">
        <x:f>Percentuais!G12</x:f>
        <x:v>0</x:v>
      </x:c>
      <x:c r="H19" s="108" t="n">
        <x:f>Percentuais!H12</x:f>
        <x:v>0.04</x:v>
      </x:c>
      <x:c r="I19" s="109" t="n">
        <x:f>Percentuais!I12</x:f>
        <x:v>714</x:v>
      </x:c>
      <x:c r="J19" s="109" t="n">
        <x:f>E19+G19+I19</x:f>
        <x:v>939</x:v>
      </x:c>
      <x:c r="K19" s="106" t="str">
        <x:f>Percentuais!J12</x:f>
        <x:v>Contrato, NDA, termos, SLA, IP, retenção e privacidade</x:v>
      </x:c>
    </x:row>
    <x:row r="20">
      <x:c r="A20" s="106" t="str">
        <x:f>Percentuais!A13</x:f>
        <x:v>Opção 2 - Apenas Recorrência</x:v>
      </x:c>
      <x:c r="B20" s="106" t="str">
        <x:f>Percentuais!B13</x:f>
        <x:v>CS / Suporte</x:v>
      </x:c>
      <x:c r="C20" s="106" t="str">
        <x:f>Percentuais!C13</x:f>
        <x:v>CS/Treinamento + Suporte Técnico</x:v>
      </x:c>
      <x:c r="D20" s="108" t="n">
        <x:f>Percentuais!D13</x:f>
        <x:v>0.04</x:v>
      </x:c>
      <x:c r="E20" s="109" t="n">
        <x:f>Percentuais!E13</x:f>
        <x:v>180</x:v>
      </x:c>
      <x:c r="F20" s="108" t="n">
        <x:f>Percentuais!F13</x:f>
        <x:v>0.13</x:v>
      </x:c>
      <x:c r="G20" s="109" t="n">
        <x:f>Percentuais!G13</x:f>
        <x:v>7020</x:v>
      </x:c>
      <x:c r="H20" s="108" t="n">
        <x:f>Percentuais!H13</x:f>
        <x:v>0.05</x:v>
      </x:c>
      <x:c r="I20" s="109" t="n">
        <x:f>Percentuais!I13</x:f>
        <x:v>892.5</x:v>
      </x:c>
      <x:c r="J20" s="109" t="n">
        <x:f>E20+G20+I20</x:f>
        <x:v>8092.5</x:v>
      </x:c>
      <x:c r="K20" s="106" t="str">
        <x:f>Percentuais!J13</x:f>
        <x:v>Treinamento, ativação, suporte mensal e sucesso do cliente</x:v>
      </x:c>
    </x:row>
    <x:row r="21">
      <x:c r="A21" s="106" t="str">
        <x:f>Percentuais!A14</x:f>
        <x:v>Opção 2 - Apenas Recorrência</x:v>
      </x:c>
      <x:c r="B21" s="106" t="str">
        <x:f>Percentuais!B14</x:f>
        <x:v>Reserva Produto</x:v>
      </x:c>
      <x:c r="C21" s="106" t="str">
        <x:f>Percentuais!C14</x:f>
        <x:v>Reserva/Produto</x:v>
      </x:c>
      <x:c r="D21" s="108" t="n">
        <x:f>Percentuais!D14</x:f>
        <x:v>0.13</x:v>
      </x:c>
      <x:c r="E21" s="109" t="n">
        <x:f>Percentuais!E14</x:f>
        <x:v>585</x:v>
      </x:c>
      <x:c r="F21" s="108" t="n">
        <x:f>Percentuais!F14</x:f>
        <x:v>0.35</x:v>
      </x:c>
      <x:c r="G21" s="109" t="n">
        <x:f>Percentuais!G14</x:f>
        <x:v>18900</x:v>
      </x:c>
      <x:c r="H21" s="108" t="n">
        <x:f>Percentuais!H14</x:f>
        <x:v>0.12</x:v>
      </x:c>
      <x:c r="I21" s="109" t="n">
        <x:f>Percentuais!I14</x:f>
        <x:v>2142</x:v>
      </x:c>
      <x:c r="J21" s="109" t="n">
        <x:f>E21+G21+I21</x:f>
        <x:v>21627</x:v>
      </x:c>
      <x:c r="K21" s="106" t="str">
        <x:f>Percentuais!J14</x:f>
        <x:v>Reserva para evolução, inadimplência, custos extras de API e produto</x:v>
      </x:c>
    </x:row>
    <x:row r="22">
      <x:c r="A22" s="106" t="str">
        <x:v>TOTAL MODELO SELECIONADO</x:v>
      </x:c>
      <x:c r="B22" s="106"/>
      <x:c r="C22" s="106"/>
      <x:c r="D22" s="108" t="n">
        <x:f>SUM(D12:D21)</x:f>
        <x:v>1</x:v>
      </x:c>
      <x:c r="E22" s="109" t="n">
        <x:f>SUM(E12:E21)</x:f>
        <x:v>4500</x:v>
      </x:c>
      <x:c r="F22" s="108" t="n">
        <x:f>SUM(F12:F21)</x:f>
        <x:v>1</x:v>
      </x:c>
      <x:c r="G22" s="109" t="n">
        <x:f>SUM(G12:G21)</x:f>
        <x:v>54000</x:v>
      </x:c>
      <x:c r="H22" s="108" t="n">
        <x:f>SUM(H12:H21)</x:f>
        <x:v>1</x:v>
      </x:c>
      <x:c r="I22" s="109" t="n">
        <x:f>SUM(I12:I21)</x:f>
        <x:v>17850</x:v>
      </x:c>
      <x:c r="J22" s="109" t="n">
        <x:f>SUM(J12:J21)</x:f>
        <x:v>76350</x:v>
      </x:c>
      <x:c r="K22" s="106" t="str">
        <x:v>Controle: deve bater com Dashboard</x:v>
      </x:c>
    </x:row>
    <x:row r="23">
      <x:c r="A23" s="30"/>
      <x:c r="B23" s="30"/>
      <x:c r="C23" s="30"/>
      <x:c r="D23" s="77"/>
      <x:c r="E23" s="74"/>
      <x:c r="F23" s="77"/>
      <x:c r="G23" s="74"/>
      <x:c r="H23" s="77"/>
      <x:c r="I23" s="74"/>
      <x:c r="J23" s="74"/>
      <x:c r="K23" s="30"/>
    </x:row>
    <x:row r="24">
      <x:c r="A24" s="30"/>
      <x:c r="B24" s="30"/>
      <x:c r="C24" s="30"/>
      <x:c r="D24" s="77"/>
      <x:c r="E24" s="74"/>
      <x:c r="F24" s="77"/>
      <x:c r="G24" s="74"/>
      <x:c r="H24" s="77"/>
      <x:c r="I24" s="74"/>
      <x:c r="J24" s="74"/>
      <x:c r="K24" s="30"/>
    </x:row>
    <x:row r="25">
      <x:c r="A25" s="30"/>
      <x:c r="B25" s="30"/>
      <x:c r="C25" s="30"/>
      <x:c r="D25" s="77"/>
      <x:c r="E25" s="74"/>
      <x:c r="F25" s="77"/>
      <x:c r="G25" s="74"/>
      <x:c r="H25" s="77"/>
      <x:c r="I25" s="74"/>
      <x:c r="J25" s="74"/>
      <x:c r="K25" s="30"/>
    </x:row>
    <x:row r="26">
      <x:c r="A26" s="30"/>
      <x:c r="B26" s="30"/>
      <x:c r="C26" s="30"/>
      <x:c r="D26" s="77"/>
      <x:c r="E26" s="74"/>
      <x:c r="F26" s="77"/>
      <x:c r="G26" s="74"/>
      <x:c r="H26" s="77"/>
      <x:c r="I26" s="74"/>
      <x:c r="J26" s="74"/>
      <x:c r="K26" s="30"/>
    </x:row>
    <x:row r="27">
      <x:c r="A27" s="30"/>
      <x:c r="B27" s="30"/>
      <x:c r="C27" s="30"/>
      <x:c r="D27" s="77"/>
      <x:c r="E27" s="74"/>
      <x:c r="F27" s="77"/>
      <x:c r="G27" s="74"/>
      <x:c r="H27" s="77"/>
      <x:c r="I27" s="74"/>
      <x:c r="J27" s="74"/>
      <x:c r="K27" s="30"/>
    </x:row>
    <x:row r="28">
      <x:c r="A28" s="30"/>
      <x:c r="B28" s="30"/>
      <x:c r="C28" s="30"/>
      <x:c r="D28" s="77"/>
      <x:c r="E28" s="74"/>
      <x:c r="F28" s="77"/>
      <x:c r="G28" s="74"/>
      <x:c r="H28" s="77"/>
      <x:c r="I28" s="74"/>
      <x:c r="J28" s="74"/>
      <x:c r="K28" s="30"/>
    </x:row>
    <x:row r="29">
      <x:c r="A29" s="30"/>
      <x:c r="B29" s="30"/>
      <x:c r="C29" s="30"/>
      <x:c r="D29" s="77"/>
      <x:c r="E29" s="74"/>
      <x:c r="F29" s="77"/>
      <x:c r="G29" s="74"/>
      <x:c r="H29" s="77"/>
      <x:c r="I29" s="74"/>
      <x:c r="J29" s="74"/>
      <x:c r="K29" s="30"/>
    </x:row>
    <x:row r="30">
      <x:c r="A30" s="30"/>
      <x:c r="B30" s="30"/>
      <x:c r="C30" s="30"/>
      <x:c r="D30" s="77"/>
      <x:c r="E30" s="74"/>
      <x:c r="F30" s="77"/>
      <x:c r="G30" s="74"/>
      <x:c r="H30" s="77"/>
      <x:c r="I30" s="74"/>
      <x:c r="J30" s="74"/>
      <x:c r="K30" s="30"/>
    </x:row>
    <x:row r="31">
      <x:c r="A31" s="30"/>
      <x:c r="B31" s="30"/>
      <x:c r="C31" s="30"/>
      <x:c r="D31" s="77"/>
      <x:c r="E31" s="74"/>
      <x:c r="F31" s="77"/>
      <x:c r="G31" s="74"/>
      <x:c r="H31" s="77"/>
      <x:c r="I31" s="74"/>
      <x:c r="J31" s="74"/>
      <x:c r="K31" s="30"/>
    </x:row>
    <x:row r="32">
      <x:c r="A32" s="30"/>
      <x:c r="B32" s="30"/>
      <x:c r="C32" s="30"/>
      <x:c r="D32" s="77"/>
      <x:c r="E32" s="74"/>
      <x:c r="F32" s="77"/>
      <x:c r="G32" s="74"/>
      <x:c r="H32" s="77"/>
      <x:c r="I32" s="74"/>
      <x:c r="J32" s="74"/>
      <x:c r="K32" s="30"/>
    </x:row>
    <x:row r="33">
      <x:c r="A33" s="30"/>
      <x:c r="B33" s="30"/>
      <x:c r="C33" s="30"/>
      <x:c r="D33" s="77"/>
      <x:c r="E33" s="74"/>
      <x:c r="F33" s="77"/>
      <x:c r="G33" s="74"/>
      <x:c r="H33" s="77"/>
      <x:c r="I33" s="74"/>
      <x:c r="J33" s="74"/>
      <x:c r="K33" s="30"/>
    </x:row>
    <x:row r="34">
      <x:c r="A34" s="30"/>
      <x:c r="B34" s="30"/>
      <x:c r="C34" s="30"/>
      <x:c r="D34" s="77"/>
      <x:c r="E34" s="74"/>
      <x:c r="F34" s="77"/>
      <x:c r="G34" s="74"/>
      <x:c r="H34" s="77"/>
      <x:c r="I34" s="74"/>
      <x:c r="J34" s="74"/>
      <x:c r="K34" s="30"/>
    </x:row>
    <x:row r="35">
      <x:c r="A35" s="30"/>
      <x:c r="B35" s="30"/>
      <x:c r="C35" s="30"/>
      <x:c r="D35" s="77"/>
      <x:c r="E35" s="74"/>
      <x:c r="F35" s="77"/>
      <x:c r="G35" s="74"/>
      <x:c r="H35" s="77"/>
      <x:c r="I35" s="74"/>
      <x:c r="J35" s="74"/>
      <x:c r="K35" s="30"/>
    </x:row>
    <x:row r="36">
      <x:c r="A36" s="30"/>
      <x:c r="B36" s="30"/>
      <x:c r="C36" s="30"/>
      <x:c r="D36" s="77"/>
      <x:c r="E36" s="74"/>
      <x:c r="F36" s="77"/>
      <x:c r="G36" s="74"/>
      <x:c r="H36" s="77"/>
      <x:c r="I36" s="74"/>
      <x:c r="J36" s="74"/>
      <x:c r="K36" s="30"/>
    </x:row>
    <x:row r="37">
      <x:c r="A37" s="30"/>
      <x:c r="B37" s="30"/>
      <x:c r="C37" s="30"/>
      <x:c r="D37" s="77"/>
      <x:c r="E37" s="74"/>
      <x:c r="F37" s="77"/>
      <x:c r="G37" s="74"/>
      <x:c r="H37" s="77"/>
      <x:c r="I37" s="74"/>
      <x:c r="J37" s="74"/>
      <x:c r="K37" s="30"/>
    </x:row>
    <x:row r="38">
      <x:c r="A38" s="30"/>
      <x:c r="B38" s="30"/>
      <x:c r="C38" s="30"/>
      <x:c r="D38" s="77"/>
      <x:c r="E38" s="74"/>
      <x:c r="F38" s="77"/>
      <x:c r="G38" s="74"/>
      <x:c r="H38" s="77"/>
      <x:c r="I38" s="74"/>
      <x:c r="J38" s="74"/>
      <x:c r="K38" s="30"/>
    </x:row>
    <x:row r="39">
      <x:c r="A39" s="30"/>
      <x:c r="B39" s="30"/>
      <x:c r="C39" s="30"/>
      <x:c r="D39" s="77"/>
      <x:c r="E39" s="74"/>
      <x:c r="F39" s="77"/>
      <x:c r="G39" s="74"/>
      <x:c r="H39" s="77"/>
      <x:c r="I39" s="74"/>
      <x:c r="J39" s="74"/>
      <x:c r="K39" s="30"/>
    </x:row>
    <x:row r="40">
      <x:c r="A40" s="30"/>
      <x:c r="B40" s="30"/>
      <x:c r="C40" s="30"/>
      <x:c r="D40" s="77"/>
      <x:c r="E40" s="74"/>
      <x:c r="F40" s="77"/>
      <x:c r="G40" s="74"/>
      <x:c r="H40" s="77"/>
      <x:c r="I40" s="74"/>
      <x:c r="J40" s="74"/>
      <x:c r="K40" s="30"/>
    </x:row>
    <x:row r="41">
      <x:c r="A41" s="30"/>
      <x:c r="B41" s="30"/>
      <x:c r="C41" s="30"/>
      <x:c r="D41" s="77"/>
      <x:c r="E41" s="74"/>
      <x:c r="F41" s="77"/>
      <x:c r="G41" s="74"/>
      <x:c r="H41" s="77"/>
      <x:c r="I41" s="74"/>
      <x:c r="J41" s="74"/>
      <x:c r="K41" s="30"/>
    </x:row>
    <x:row r="42">
      <x:c r="A42" s="30"/>
      <x:c r="B42" s="30"/>
      <x:c r="C42" s="30"/>
      <x:c r="D42" s="77"/>
      <x:c r="E42" s="74"/>
      <x:c r="F42" s="77"/>
      <x:c r="G42" s="74"/>
      <x:c r="H42" s="77"/>
      <x:c r="I42" s="74"/>
      <x:c r="J42" s="74"/>
      <x:c r="K42" s="30"/>
    </x:row>
    <x:row r="43">
      <x:c r="A43" s="30"/>
      <x:c r="B43" s="30"/>
      <x:c r="C43" s="30"/>
      <x:c r="D43" s="77"/>
      <x:c r="E43" s="74"/>
      <x:c r="F43" s="77"/>
      <x:c r="G43" s="74"/>
      <x:c r="H43" s="77"/>
      <x:c r="I43" s="74"/>
      <x:c r="J43" s="74"/>
      <x:c r="K43" s="30"/>
    </x:row>
    <x:row r="44">
      <x:c r="A44" s="30"/>
      <x:c r="B44" s="30"/>
      <x:c r="C44" s="30"/>
      <x:c r="D44" s="77"/>
      <x:c r="E44" s="74"/>
      <x:c r="F44" s="77"/>
      <x:c r="G44" s="74"/>
      <x:c r="H44" s="77"/>
      <x:c r="I44" s="74"/>
      <x:c r="J44" s="74"/>
      <x:c r="K44" s="30"/>
    </x:row>
    <x:row r="45">
      <x:c r="A45" s="30"/>
      <x:c r="B45" s="30"/>
      <x:c r="C45" s="30"/>
      <x:c r="D45" s="77"/>
      <x:c r="E45" s="74"/>
      <x:c r="F45" s="77"/>
      <x:c r="G45" s="74"/>
      <x:c r="H45" s="77"/>
      <x:c r="I45" s="74"/>
      <x:c r="J45" s="74"/>
      <x:c r="K45" s="30"/>
    </x:row>
    <x:row r="46">
      <x:c r="A46" s="30"/>
      <x:c r="B46" s="30"/>
      <x:c r="C46" s="30"/>
      <x:c r="D46" s="77"/>
      <x:c r="E46" s="74"/>
      <x:c r="F46" s="77"/>
      <x:c r="G46" s="74"/>
      <x:c r="H46" s="77"/>
      <x:c r="I46" s="74"/>
      <x:c r="J46" s="74"/>
      <x:c r="K46" s="30"/>
    </x:row>
    <x:row r="47">
      <x:c r="A47" s="98"/>
      <x:c r="B47" s="98"/>
      <x:c r="C47" s="98"/>
      <x:c r="D47" s="99"/>
      <x:c r="E47" s="100"/>
      <x:c r="F47" s="99"/>
      <x:c r="G47" s="100"/>
      <x:c r="H47" s="99"/>
      <x:c r="I47" s="100"/>
      <x:c r="J47" s="100"/>
      <x:c r="K47" s="98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K1"/>
    <x:mergeCell ref="A2:K2"/>
    <x:mergeCell ref="A4:K4"/>
    <x:mergeCell ref="A10:K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4" hidden="0" customWidth="1"/>
    <x:col min="5" max="5" width="10" hidden="0" customWidth="1"/>
    <x:col min="6" max="6" width="24" hidden="0" customWidth="1"/>
    <x:col min="7" max="7" width="18" hidden="0" customWidth="1"/>
    <x:col min="8" max="8" width="48" hidden="0" customWidth="1"/>
    <x:col min="9" max="9" width="18" hidden="0" customWidth="1"/>
    <x:col min="10" max="10" width="48" hidden="0" customWidth="1"/>
  </x:cols>
  <x:sheetData>
    <x:row r="1" ht="30" customHeight="1">
      <x:c r="A1" s="68" t="str">
        <x:v>ESCOPO E BACKLOG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Use para transformar proposta em tarefas rastreáveis de desenvolvimento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Módulo</x:v>
      </x:c>
      <x:c r="B4" s="105" t="str">
        <x:v>Item</x:v>
      </x:c>
      <x:c r="C4" s="105" t="str">
        <x:v>Fase/Proposta</x:v>
      </x:c>
      <x:c r="D4" s="105" t="str">
        <x:v>Prioridade</x:v>
      </x:c>
      <x:c r="E4" s="105" t="str">
        <x:v>Esforço</x:v>
      </x:c>
      <x:c r="F4" s="105" t="str">
        <x:v>Responsável</x:v>
      </x:c>
      <x:c r="G4" s="105" t="str">
        <x:v>Status</x:v>
      </x:c>
      <x:c r="H4" s="105" t="str">
        <x:v>Critério de aceite</x:v>
      </x:c>
      <x:c r="I4" s="105" t="str">
        <x:v>Risco</x:v>
      </x:c>
      <x:c r="J4" s="105" t="str">
        <x:v>Observação</x:v>
      </x:c>
      <x:c r="K4" s="30"/>
    </x:row>
    <x:row r="5">
      <x:c r="A5" s="106" t="str">
        <x:v>Pré-condição</x:v>
      </x:c>
      <x:c r="B5" s="106" t="str">
        <x:v>Validar Proposta A em produção e dados reais</x:v>
      </x:c>
      <x:c r="C5" s="106" t="str">
        <x:v>Pré-B</x:v>
      </x:c>
      <x:c r="D5" s="106" t="str">
        <x:v>Crítica</x:v>
      </x:c>
      <x:c r="E5" s="106" t="str">
        <x:v>P</x:v>
      </x:c>
      <x:c r="F5" s="106" t="str">
        <x:v>Gestão/PM</x:v>
      </x:c>
      <x:c r="G5" s="106" t="str">
        <x:v>Não iniciado</x:v>
      </x:c>
      <x:c r="H5" s="106" t="str">
        <x:v>A validada ou plano de absorção do A no B</x:v>
      </x:c>
      <x:c r="I5" s="106" t="str">
        <x:v>Escopo</x:v>
      </x:c>
      <x:c r="J5" s="106" t="str">
        <x:v>B pressupõe A em produção e validada</x:v>
      </x:c>
      <x:c r="K5" s="30"/>
    </x:row>
    <x:row r="6">
      <x:c r="A6" s="106" t="str">
        <x:v>Autenticação</x:v>
      </x:c>
      <x:c r="B6" s="106" t="str">
        <x:v>Login, roles e RLS para gerência, motorista e cliente</x:v>
      </x:c>
      <x:c r="C6" s="106" t="str">
        <x:v>MVP A/Base</x:v>
      </x:c>
      <x:c r="D6" s="106" t="str">
        <x:v>Crítica</x:v>
      </x:c>
      <x:c r="E6" s="106" t="str">
        <x:v>M</x:v>
      </x:c>
      <x:c r="F6" s="106" t="str">
        <x:v>Dev Backend/Infra</x:v>
      </x:c>
      <x:c r="G6" s="106" t="str">
        <x:v>Não iniciado</x:v>
      </x:c>
      <x:c r="H6" s="106" t="str">
        <x:v>Cada perfil acessa apenas sua área/dados</x:v>
      </x:c>
      <x:c r="I6" s="106" t="str">
        <x:v>Segurança/LGPD</x:v>
      </x:c>
      <x:c r="J6" s="106" t="str">
        <x:v>Base para todos os módulos</x:v>
      </x:c>
      <x:c r="K6" s="30"/>
    </x:row>
    <x:row r="7">
      <x:c r="A7" s="106" t="str">
        <x:v>Importação</x:v>
      </x:c>
      <x:c r="B7" s="106" t="str">
        <x:v>Upload/parser Excel com preview e atribuição de motoristas</x:v>
      </x:c>
      <x:c r="C7" s="106" t="str">
        <x:v>MVP A/Base</x:v>
      </x:c>
      <x:c r="D7" s="106" t="str">
        <x:v>Alta</x:v>
      </x:c>
      <x:c r="E7" s="106" t="str">
        <x:v>M</x:v>
      </x:c>
      <x:c r="F7" s="106" t="str">
        <x:v>Dev Backend/Infra</x:v>
      </x:c>
      <x:c r="G7" s="106" t="str">
        <x:v>Não iniciado</x:v>
      </x:c>
      <x:c r="H7" s="106" t="str">
        <x:v>2-3 arquivos reais importam sem erro</x:v>
      </x:c>
      <x:c r="I7" s="106" t="str">
        <x:v>Dados</x:v>
      </x:c>
      <x:c r="J7" s="106" t="str">
        <x:v>Colunas divergentes precisam mapeamento</x:v>
      </x:c>
      <x:c r="K7" s="30"/>
    </x:row>
    <x:row r="8">
      <x:c r="A8" s="106" t="str">
        <x:v>Motorista</x:v>
      </x:c>
      <x:c r="B8" s="106" t="str">
        <x:v>Lista do dia, câmera, status e busca</x:v>
      </x:c>
      <x:c r="C8" s="106" t="str">
        <x:v>MVP A/Base</x:v>
      </x:c>
      <x:c r="D8" s="106" t="str">
        <x:v>Crítica</x:v>
      </x:c>
      <x:c r="E8" s="106" t="str">
        <x:v>G</x:v>
      </x:c>
      <x:c r="F8" s="106" t="str">
        <x:v>Dev Frontend/Produto</x:v>
      </x:c>
      <x:c r="G8" s="106" t="str">
        <x:v>Não iniciado</x:v>
      </x:c>
      <x:c r="H8" s="106" t="str">
        <x:v>Motorista registra entrega em celular real</x:v>
      </x:c>
      <x:c r="I8" s="106" t="str">
        <x:v>Adoção</x:v>
      </x:c>
      <x:c r="J8" s="106" t="str">
        <x:v>UX de campo com uma mão</x:v>
      </x:c>
      <x:c r="K8" s="30"/>
    </x:row>
    <x:row r="9">
      <x:c r="A9" s="106" t="str">
        <x:v>Offline</x:v>
      </x:c>
      <x:c r="B9" s="106" t="str">
        <x:v>Service Worker + IndexedDB + sync automático</x:v>
      </x:c>
      <x:c r="C9" s="106" t="str">
        <x:v>MVP A/Base</x:v>
      </x:c>
      <x:c r="D9" s="106" t="str">
        <x:v>Crítica</x:v>
      </x:c>
      <x:c r="E9" s="106" t="str">
        <x:v>G</x:v>
      </x:c>
      <x:c r="F9" s="106" t="str">
        <x:v>PWA/Offline</x:v>
      </x:c>
      <x:c r="G9" s="106" t="str">
        <x:v>Não iniciado</x:v>
      </x:c>
      <x:c r="H9" s="106" t="str">
        <x:v>Modo avião registra e sincroniza ao voltar sinal</x:v>
      </x:c>
      <x:c r="I9" s="106" t="str">
        <x:v>Técnico</x:v>
      </x:c>
      <x:c r="J9" s="106" t="str">
        <x:v>Serra Gaúcha tem sinal fraco</x:v>
      </x:c>
      <x:c r="K9" s="30"/>
    </x:row>
    <x:row r="10">
      <x:c r="A10" s="106" t="str">
        <x:v>Gerência</x:v>
      </x:c>
      <x:c r="B10" s="106" t="str">
        <x:v>Painel realtime e modal do canhoto</x:v>
      </x:c>
      <x:c r="C10" s="106" t="str">
        <x:v>MVP A/Base</x:v>
      </x:c>
      <x:c r="D10" s="106" t="str">
        <x:v>Alta</x:v>
      </x:c>
      <x:c r="E10" s="106" t="str">
        <x:v>M</x:v>
      </x:c>
      <x:c r="F10" s="106" t="str">
        <x:v>Dev Frontend/Produto</x:v>
      </x:c>
      <x:c r="G10" s="106" t="str">
        <x:v>Não iniciado</x:v>
      </x:c>
      <x:c r="H10" s="106" t="str">
        <x:v>Atualiza em menos de 3s sem refresh</x:v>
      </x:c>
      <x:c r="I10" s="106" t="str">
        <x:v>Técnico</x:v>
      </x:c>
      <x:c r="J10" s="106" t="str">
        <x:v>Supabase realtime</x:v>
      </x:c>
      <x:c r="K10" s="30"/>
    </x:row>
    <x:row r="11">
      <x:c r="A11" s="106" t="str">
        <x:v>Cliente final</x:v>
      </x:c>
      <x:c r="B11" s="106" t="str">
        <x:v>Portal read-only por empresa cliente</x:v>
      </x:c>
      <x:c r="C11" s="106" t="str">
        <x:v>MVP A/Base</x:v>
      </x:c>
      <x:c r="D11" s="106" t="str">
        <x:v>Alta</x:v>
      </x:c>
      <x:c r="E11" s="106" t="str">
        <x:v>M</x:v>
      </x:c>
      <x:c r="F11" s="106" t="str">
        <x:v>Dev Frontend/Produto</x:v>
      </x:c>
      <x:c r="G11" s="106" t="str">
        <x:v>Não iniciado</x:v>
      </x:c>
      <x:c r="H11" s="106" t="str">
        <x:v>Cliente vê apenas suas NFs e comprovantes</x:v>
      </x:c>
      <x:c r="I11" s="106" t="str">
        <x:v>Segurança/LGPD</x:v>
      </x:c>
      <x:c r="J11" s="106" t="str">
        <x:v>Multi-tenant simples</x:v>
      </x:c>
      <x:c r="K11" s="30"/>
    </x:row>
    <x:row r="12">
      <x:c r="A12" s="106" t="str">
        <x:v>Roteirização</x:v>
      </x:c>
      <x:c r="B12" s="106" t="str">
        <x:v>Google Maps Directions + ordem otimizada</x:v>
      </x:c>
      <x:c r="C12" s="106" t="str">
        <x:v>MVP B</x:v>
      </x:c>
      <x:c r="D12" s="106" t="str">
        <x:v>Alta</x:v>
      </x:c>
      <x:c r="E12" s="106" t="str">
        <x:v>G</x:v>
      </x:c>
      <x:c r="F12" s="106" t="str">
        <x:v>GIS/Maps</x:v>
      </x:c>
      <x:c r="G12" s="106" t="str">
        <x:v>Não iniciado</x:v>
      </x:c>
      <x:c r="H12" s="106" t="str">
        <x:v>Rota para 10-20 endereços em menos de 5s</x:v>
      </x:c>
      <x:c r="I12" s="106" t="str">
        <x:v>Dependência externa</x:v>
      </x:c>
      <x:c r="J12" s="106" t="str">
        <x:v>Custo API monitorado</x:v>
      </x:c>
      <x:c r="K12" s="30"/>
    </x:row>
    <x:row r="13">
      <x:c r="A13" s="106" t="str">
        <x:v>Motorista</x:v>
      </x:c>
      <x:c r="B13" s="106" t="str">
        <x:v>Painel de notas por empresa e pendências</x:v>
      </x:c>
      <x:c r="C13" s="106" t="str">
        <x:v>MVP B</x:v>
      </x:c>
      <x:c r="D13" s="106" t="str">
        <x:v>Média</x:v>
      </x:c>
      <x:c r="E13" s="106" t="str">
        <x:v>M</x:v>
      </x:c>
      <x:c r="F13" s="106" t="str">
        <x:v>Dev Frontend/Produto</x:v>
      </x:c>
      <x:c r="G13" s="106" t="str">
        <x:v>Não iniciado</x:v>
      </x:c>
      <x:c r="H13" s="106" t="str">
        <x:v>Agrupa por empresa e mostra contagens corretas</x:v>
      </x:c>
      <x:c r="I13" s="106" t="str">
        <x:v>Adoção</x:v>
      </x:c>
      <x:c r="J13" s="106" t="str">
        <x:v>Facilita caminhão com múltiplos clientes</x:v>
      </x:c>
      <x:c r="K13" s="30"/>
    </x:row>
    <x:row r="14">
      <x:c r="A14" s="106" t="str">
        <x:v>KPIs</x:v>
      </x:c>
      <x:c r="B14" s="106" t="str">
        <x:v>Desempenho de motoristas por período</x:v>
      </x:c>
      <x:c r="C14" s="106" t="str">
        <x:v>MVP B</x:v>
      </x:c>
      <x:c r="D14" s="106" t="str">
        <x:v>Alta</x:v>
      </x:c>
      <x:c r="E14" s="106" t="str">
        <x:v>M</x:v>
      </x:c>
      <x:c r="F14" s="106" t="str">
        <x:v>Dados/BI</x:v>
      </x:c>
      <x:c r="G14" s="106" t="str">
        <x:v>Não iniciado</x:v>
      </x:c>
      <x:c r="H14" s="106" t="str">
        <x:v>Taxa de sucesso/problemas e tempo médio batem com dados</x:v>
      </x:c>
      <x:c r="I14" s="106" t="str">
        <x:v>Dados</x:v>
      </x:c>
      <x:c r="J14" s="106" t="str">
        <x:v>Depende de histórico confiável</x:v>
      </x:c>
      <x:c r="K14" s="30"/>
    </x:row>
    <x:row r="15">
      <x:c r="A15" s="106" t="str">
        <x:v>Financeiro</x:v>
      </x:c>
      <x:c r="B15" s="106" t="str">
        <x:v>Rentabilidade por entrega, rota e cliente</x:v>
      </x:c>
      <x:c r="C15" s="106" t="str">
        <x:v>MVP B</x:v>
      </x:c>
      <x:c r="D15" s="106" t="str">
        <x:v>Alta</x:v>
      </x:c>
      <x:c r="E15" s="106" t="str">
        <x:v>G</x:v>
      </x:c>
      <x:c r="F15" s="106" t="str">
        <x:v>Dados/BI</x:v>
      </x:c>
      <x:c r="G15" s="106" t="str">
        <x:v>Não iniciado</x:v>
      </x:c>
      <x:c r="H15" s="106" t="str">
        <x:v>Margem calcula com custo/km, hora e tarifa configurados</x:v>
      </x:c>
      <x:c r="I15" s="106" t="str">
        <x:v>Financeiro</x:v>
      </x:c>
      <x:c r="J15" s="106" t="str">
        <x:v>Se dados de custo forem ruins, resultado engana</x:v>
      </x:c>
      <x:c r="K15" s="30"/>
    </x:row>
    <x:row r="16">
      <x:c r="A16" s="106" t="str">
        <x:v>Dashboards</x:v>
      </x:c>
      <x:c r="B16" s="106" t="str">
        <x:v>Gráficos, mapa por cidade e visão consolidada</x:v>
      </x:c>
      <x:c r="C16" s="106" t="str">
        <x:v>MVP B</x:v>
      </x:c>
      <x:c r="D16" s="106" t="str">
        <x:v>Média</x:v>
      </x:c>
      <x:c r="E16" s="106" t="str">
        <x:v>M</x:v>
      </x:c>
      <x:c r="F16" s="106" t="str">
        <x:v>Dados/BI</x:v>
      </x:c>
      <x:c r="G16" s="106" t="str">
        <x:v>Não iniciado</x:v>
      </x:c>
      <x:c r="H16" s="106" t="str">
        <x:v>Gráficos carregam &lt; 4s com histórico de 3 meses</x:v>
      </x:c>
      <x:c r="I16" s="106" t="str">
        <x:v>Performance</x:v>
      </x:c>
      <x:c r="J16" s="106" t="str">
        <x:v>Evitar excesso visual</x:v>
      </x:c>
      <x:c r="K16" s="30"/>
    </x:row>
    <x:row r="17">
      <x:c r="A17" s="106" t="str">
        <x:v>Filtros</x:v>
      </x:c>
      <x:c r="B17" s="106" t="str">
        <x:v>Cidade, período customizado, múltiplos status e motorista</x:v>
      </x:c>
      <x:c r="C17" s="106" t="str">
        <x:v>MVP B</x:v>
      </x:c>
      <x:c r="D17" s="106" t="str">
        <x:v>Média</x:v>
      </x:c>
      <x:c r="E17" s="106" t="str">
        <x:v>M</x:v>
      </x:c>
      <x:c r="F17" s="106" t="str">
        <x:v>Dev Frontend/Produto</x:v>
      </x:c>
      <x:c r="G17" s="106" t="str">
        <x:v>Não iniciado</x:v>
      </x:c>
      <x:c r="H17" s="106" t="str">
        <x:v>Filtros combinados funcionam sem erro</x:v>
      </x:c>
      <x:c r="I17" s="106" t="str">
        <x:v>Escopo</x:v>
      </x:c>
      <x:c r="J17" s="106" t="str">
        <x:v>Cliente final e gerência</x:v>
      </x:c>
      <x:c r="K17" s="30"/>
    </x:row>
    <x:row r="18">
      <x:c r="A18" s="106" t="str">
        <x:v>Relatórios</x:v>
      </x:c>
      <x:c r="B18" s="106" t="str">
        <x:v>Exportações Excel/CSV por período, motorista e cliente</x:v>
      </x:c>
      <x:c r="C18" s="106" t="str">
        <x:v>MVP B</x:v>
      </x:c>
      <x:c r="D18" s="106" t="str">
        <x:v>Média</x:v>
      </x:c>
      <x:c r="E18" s="106" t="str">
        <x:v>M</x:v>
      </x:c>
      <x:c r="F18" s="106" t="str">
        <x:v>Dados/BI</x:v>
      </x:c>
      <x:c r="G18" s="106" t="str">
        <x:v>Não iniciado</x:v>
      </x:c>
      <x:c r="H18" s="106" t="str">
        <x:v>Arquivo abre em Excel e Google Sheets</x:v>
      </x:c>
      <x:c r="I18" s="106" t="str">
        <x:v>Escopo</x:v>
      </x:c>
      <x:c r="J18" s="106" t="str">
        <x:v>PDF fica fora salvo se contratado</x:v>
      </x:c>
      <x:c r="K18" s="30"/>
    </x:row>
    <x:row r="19">
      <x:c r="A19" s="106" t="str">
        <x:v>Jurídico</x:v>
      </x:c>
      <x:c r="B19" s="106" t="str">
        <x:v>Contrato, NDA, SLA, termos, privacidade e IP</x:v>
      </x:c>
      <x:c r="C19" s="106" t="str">
        <x:v>Governança</x:v>
      </x:c>
      <x:c r="D19" s="106" t="str">
        <x:v>Crítica</x:v>
      </x:c>
      <x:c r="E19" s="106" t="str">
        <x:v>P</x:v>
      </x:c>
      <x:c r="F19" s="106" t="str">
        <x:v>Jurídico Contratual</x:v>
      </x:c>
      <x:c r="G19" s="106" t="str">
        <x:v>Não iniciado</x:v>
      </x:c>
      <x:c r="H19" s="106" t="str">
        <x:v>Documentos assinados antes de produção</x:v>
      </x:c>
      <x:c r="I19" s="106" t="str">
        <x:v>Jurídico</x:v>
      </x:c>
      <x:c r="J19" s="106" t="str">
        <x:v>Especialmente modalidade recorrente</x:v>
      </x:c>
      <x:c r="K19" s="30"/>
    </x:row>
    <x:row r="20">
      <x:c r="A20" s="106" t="str">
        <x:v>Implantação</x:v>
      </x:c>
      <x:c r="B20" s="106" t="str">
        <x:v>Treinamento, guia motorista e ativação de logins</x:v>
      </x:c>
      <x:c r="C20" s="106" t="str">
        <x:v>Go-live</x:v>
      </x:c>
      <x:c r="D20" s="106" t="str">
        <x:v>Alta</x:v>
      </x:c>
      <x:c r="E20" s="106" t="str">
        <x:v>M</x:v>
      </x:c>
      <x:c r="F20" s="106" t="str">
        <x:v>CS/Treinamento</x:v>
      </x:c>
      <x:c r="G20" s="106" t="str">
        <x:v>Não iniciado</x:v>
      </x:c>
      <x:c r="H20" s="106" t="str">
        <x:v>16 motoristas e ~20 clientes ativados</x:v>
      </x:c>
      <x:c r="I20" s="106" t="str">
        <x:v>Adoção</x:v>
      </x:c>
      <x:c r="J20" s="106" t="str">
        <x:v>Piloto antes do rollout completo</x:v>
      </x:c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2">
    <x:dataValidation type="list" sqref="D5:D14">
      <x:formula1>Listas!$D$5:$D$8</x:formula1>
    </x:dataValidation>
    <x:dataValidation type="list" sqref="G5:G14">
      <x:formula1>Listas!$E$5:$E$11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7eb3e4e52045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24" hidden="0" customWidth="1"/>
    <x:col min="5" max="5" width="45" hidden="0" customWidth="1"/>
    <x:col min="6" max="6" width="20" hidden="0" customWidth="1"/>
    <x:col min="7" max="7" width="10" hidden="0" customWidth="1"/>
    <x:col min="8" max="8" width="16" hidden="0" customWidth="1"/>
    <x:col min="9" max="9" width="18" hidden="0" customWidth="1"/>
    <x:col min="10" max="10" width="52" hidden="0" customWidth="1"/>
  </x:cols>
  <x:sheetData>
    <x:row r="1" ht="30" customHeight="1">
      <x:c r="A1" s="68" t="str">
        <x:v>CRONOGRAMA E MARCOS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Conecta execução, entregáveis e pagamento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Marco</x:v>
      </x:c>
      <x:c r="B4" s="105" t="str">
        <x:v>Fase</x:v>
      </x:c>
      <x:c r="C4" s="105" t="str">
        <x:v>Data prevista</x:v>
      </x:c>
      <x:c r="D4" s="105" t="str">
        <x:v>Responsável</x:v>
      </x:c>
      <x:c r="E4" s="105" t="str">
        <x:v>Entregável</x:v>
      </x:c>
      <x:c r="F4" s="105" t="str">
        <x:v>Pagamento vinculado</x:v>
      </x:c>
      <x:c r="G4" s="105" t="str">
        <x:v>%</x:v>
      </x:c>
      <x:c r="H4" s="105" t="str">
        <x:v>Valor</x:v>
      </x:c>
      <x:c r="I4" s="105" t="str">
        <x:v>Status</x:v>
      </x:c>
      <x:c r="J4" s="105" t="str">
        <x:v>Observação</x:v>
      </x:c>
      <x:c r="K4" s="30"/>
    </x:row>
    <x:row r="5">
      <x:c r="A5" s="106" t="str">
        <x:v>M0</x:v>
      </x:c>
      <x:c r="B5" s="106" t="str">
        <x:v>Contrato B + sinal</x:v>
      </x:c>
      <x:c r="C5" s="107" t="n">
        <x:v>46204</x:v>
      </x:c>
      <x:c r="D5" s="106" t="str">
        <x:v>Comercial/Account</x:v>
      </x:c>
      <x:c r="E5" s="106" t="str">
        <x:v>Contrato assinado, NDA, SLA e kickoff</x:v>
      </x:c>
      <x:c r="F5" s="106" t="str">
        <x:v>Sinal</x:v>
      </x:c>
      <x:c r="G5" s="108" t="n">
        <x:v>0.07692307692307693</x:v>
      </x:c>
      <x:c r="H5" s="109" t="n">
        <x:v>4500</x:v>
      </x:c>
      <x:c r="I5" s="106" t="str">
        <x:v>Não iniciado</x:v>
      </x:c>
      <x:c r="J5" s="106" t="str">
        <x:v>Antes disso, validar se A está em produção/validada</x:v>
      </x:c>
      <x:c r="K5" s="30"/>
    </x:row>
    <x:row r="6">
      <x:c r="A6" s="106" t="str">
        <x:v>M1</x:v>
      </x:c>
      <x:c r="B6" s="106" t="str">
        <x:v>Discovery técnico B</x:v>
      </x:c>
      <x:c r="C6" s="107" t="n">
        <x:v>46211</x:v>
      </x:c>
      <x:c r="D6" s="106" t="str">
        <x:v>Produto/PO</x:v>
      </x:c>
      <x:c r="E6" s="106" t="str">
        <x:v>Regras de rota, custos, KPIs e arquivos reais</x:v>
      </x:c>
      <x:c r="F6" s="106" t="str">
        <x:v>Não</x:v>
      </x:c>
      <x:c r="G6" s="108" t="n">
        <x:v>0</x:v>
      </x:c>
      <x:c r="H6" s="109" t="n">
        <x:v>0</x:v>
      </x:c>
      <x:c r="I6" s="106" t="str">
        <x:v>Não iniciado</x:v>
      </x:c>
      <x:c r="J6" s="106" t="str">
        <x:v>Coletar custo/km, tarifa por cliente e regras operacionais</x:v>
      </x:c>
      <x:c r="K6" s="30"/>
    </x:row>
    <x:row r="7">
      <x:c r="A7" s="106" t="str">
        <x:v>M2</x:v>
      </x:c>
      <x:c r="B7" s="106" t="str">
        <x:v>Arquitetura + base de dados B</x:v>
      </x:c>
      <x:c r="C7" s="107" t="n">
        <x:v>46218</x:v>
      </x:c>
      <x:c r="D7" s="106" t="str">
        <x:v>Dev Backend/Infra</x:v>
      </x:c>
      <x:c r="E7" s="106" t="str">
        <x:v>Schema, APIs, tabelas de custos, ambiente staging</x:v>
      </x:c>
      <x:c r="F7" s="106" t="str">
        <x:v>Não</x:v>
      </x:c>
      <x:c r="G7" s="108" t="n">
        <x:v>0</x:v>
      </x:c>
      <x:c r="H7" s="109" t="n">
        <x:v>0</x:v>
      </x:c>
      <x:c r="I7" s="106" t="str">
        <x:v>Não iniciado</x:v>
      </x:c>
      <x:c r="J7" s="106" t="str">
        <x:v>Inclui segurança e RLS para novos dados</x:v>
      </x:c>
      <x:c r="K7" s="30"/>
    </x:row>
    <x:row r="8">
      <x:c r="A8" s="106" t="str">
        <x:v>M3</x:v>
      </x:c>
      <x:c r="B8" s="106" t="str">
        <x:v>Roteirização + painel por empresa</x:v>
      </x:c>
      <x:c r="C8" s="107" t="n">
        <x:v>46234</x:v>
      </x:c>
      <x:c r="D8" s="106" t="str">
        <x:v>GIS/Maps</x:v>
      </x:c>
      <x:c r="E8" s="106" t="str">
        <x:v>Rota otimizada e agrupamento por empresa no motorista</x:v>
      </x:c>
      <x:c r="F8" s="106" t="str">
        <x:v>Não</x:v>
      </x:c>
      <x:c r="G8" s="108" t="n">
        <x:v>0</x:v>
      </x:c>
      <x:c r="H8" s="109" t="n">
        <x:v>0</x:v>
      </x:c>
      <x:c r="I8" s="106" t="str">
        <x:v>Não iniciado</x:v>
      </x:c>
      <x:c r="J8" s="106" t="str">
        <x:v>Teste com endereços reais</x:v>
      </x:c>
      <x:c r="K8" s="30"/>
    </x:row>
    <x:row r="9">
      <x:c r="A9" s="106" t="str">
        <x:v>M4</x:v>
      </x:c>
      <x:c r="B9" s="106" t="str">
        <x:v>KPIs + financeiro + dashboards</x:v>
      </x:c>
      <x:c r="C9" s="107" t="n">
        <x:v>46255</x:v>
      </x:c>
      <x:c r="D9" s="106" t="str">
        <x:v>Dados/BI</x:v>
      </x:c>
      <x:c r="E9" s="106" t="str">
        <x:v>Desempenho motoristas, rentabilidade e gráficos</x:v>
      </x:c>
      <x:c r="F9" s="106" t="str">
        <x:v>Não</x:v>
      </x:c>
      <x:c r="G9" s="108" t="n">
        <x:v>0</x:v>
      </x:c>
      <x:c r="H9" s="109" t="n">
        <x:v>0</x:v>
      </x:c>
      <x:c r="I9" s="106" t="str">
        <x:v>Não iniciado</x:v>
      </x:c>
      <x:c r="J9" s="106" t="str">
        <x:v>Validar fórmulas com Matheus</x:v>
      </x:c>
      <x:c r="K9" s="30"/>
    </x:row>
    <x:row r="10">
      <x:c r="A10" s="106" t="str">
        <x:v>M5</x:v>
      </x:c>
      <x:c r="B10" s="106" t="str">
        <x:v>Homologação e ajustes</x:v>
      </x:c>
      <x:c r="C10" s="107" t="n">
        <x:v>46275</x:v>
      </x:c>
      <x:c r="D10" s="106" t="str">
        <x:v>Arquitetura/QA</x:v>
      </x:c>
      <x:c r="E10" s="106" t="str">
        <x:v>Checklist de aceite e correções finais</x:v>
      </x:c>
      <x:c r="F10" s="106" t="str">
        <x:v>Não</x:v>
      </x:c>
      <x:c r="G10" s="108" t="n">
        <x:v>0</x:v>
      </x:c>
      <x:c r="H10" s="109" t="n">
        <x:v>0</x:v>
      </x:c>
      <x:c r="I10" s="106" t="str">
        <x:v>Não iniciado</x:v>
      </x:c>
      <x:c r="J10" s="106" t="str">
        <x:v>Testes mobile, offline, permissões e exportações</x:v>
      </x:c>
      <x:c r="K10" s="30"/>
    </x:row>
    <x:row r="11">
      <x:c r="A11" s="106" t="str">
        <x:v>M6</x:v>
      </x:c>
      <x:c r="B11" s="106" t="str">
        <x:v>Go-live B</x:v>
      </x:c>
      <x:c r="C11" s="107" t="n">
        <x:v>46295</x:v>
      </x:c>
      <x:c r="D11" s="106" t="str">
        <x:v>CS/Treinamento</x:v>
      </x:c>
      <x:c r="E11" s="106" t="str">
        <x:v>Treinamento, material e ativação completa</x:v>
      </x:c>
      <x:c r="F11" s="106" t="str">
        <x:v>Não</x:v>
      </x:c>
      <x:c r="G11" s="108" t="n">
        <x:v>0</x:v>
      </x:c>
      <x:c r="H11" s="109" t="n">
        <x:v>0</x:v>
      </x:c>
      <x:c r="I11" s="106" t="str">
        <x:v>Não iniciado</x:v>
      </x:c>
      <x:c r="J11" s="106" t="str">
        <x:v>Rollout com 16 motoristas e ~20 empresas</x:v>
      </x:c>
      <x:c r="K11" s="30"/>
    </x:row>
    <x:row r="12">
      <x:c r="A12" s="106" t="str">
        <x:v>M7</x:v>
      </x:c>
      <x:c r="B12" s="106" t="str">
        <x:v>Recorrência mensal</x:v>
      </x:c>
      <x:c r="C12" s="107" t="n">
        <x:v>46296</x:v>
      </x:c>
      <x:c r="D12" s="106" t="str">
        <x:v>UzzAI Empresa</x:v>
      </x:c>
      <x:c r="E12" s="106" t="str">
        <x:v>Produto + manutenção + hospedagem + suporte</x:v>
      </x:c>
      <x:c r="F12" s="106" t="str">
        <x:v>Mensalidade</x:v>
      </x:c>
      <x:c r="G12" s="108" t="n">
        <x:v>0.02564102564102564</x:v>
      </x:c>
      <x:c r="H12" s="109" t="n">
        <x:v>1500</x:v>
      </x:c>
      <x:c r="I12" s="106" t="str">
        <x:v>Não iniciado</x:v>
      </x:c>
      <x:c r="J12" s="106" t="str">
        <x:v>Repetir por prazo mínimo definido no contrato</x:v>
      </x:c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1">
    <x:dataValidation type="list" sqref="I5:I10">
      <x:formula1>Listas!$E$5:$E$11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0" hidden="0" customWidth="1"/>
    <x:col min="5" max="5" width="10" hidden="0" customWidth="1"/>
    <x:col min="6" max="6" width="12" hidden="0" customWidth="1"/>
    <x:col min="7" max="7" width="24" hidden="0" customWidth="1"/>
    <x:col min="8" max="8" width="58" hidden="0" customWidth="1"/>
    <x:col min="9" max="9" width="20" hidden="0" customWidth="1"/>
  </x:cols>
  <x:sheetData>
    <x:row r="1" ht="30" customHeight="1">
      <x:c r="A1" s="68" t="str">
        <x:v>GESTÃO DE RISCOS</x:v>
      </x:c>
      <x:c r="B1" s="68"/>
      <x:c r="C1" s="68"/>
      <x:c r="D1" s="68"/>
      <x:c r="E1" s="68"/>
      <x:c r="F1" s="68"/>
      <x:c r="G1" s="68"/>
      <x:c r="H1" s="68"/>
      <x:c r="I1" s="68"/>
      <x:c r="J1" s="30"/>
      <x:c r="K1" s="30"/>
    </x:row>
    <x:row r="2" ht="24" customHeight="1">
      <x:c r="A2" s="69" t="str">
        <x:v>Probabilidade × impacto, mitigação e dono</x:v>
      </x:c>
      <x:c r="B2" s="69"/>
      <x:c r="C2" s="69"/>
      <x:c r="D2" s="69"/>
      <x:c r="E2" s="69"/>
      <x:c r="F2" s="69"/>
      <x:c r="G2" s="69"/>
      <x:c r="H2" s="69"/>
      <x:c r="I2" s="69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#</x:v>
      </x:c>
      <x:c r="B4" s="105" t="str">
        <x:v>Risco</x:v>
      </x:c>
      <x:c r="C4" s="105" t="str">
        <x:v>Categoria</x:v>
      </x:c>
      <x:c r="D4" s="105" t="str">
        <x:v>Prob.</x:v>
      </x:c>
      <x:c r="E4" s="105" t="str">
        <x:v>Impacto</x:v>
      </x:c>
      <x:c r="F4" s="105" t="str">
        <x:v>Severidade</x:v>
      </x:c>
      <x:c r="G4" s="105" t="str">
        <x:v>Dono</x:v>
      </x:c>
      <x:c r="H4" s="105" t="str">
        <x:v>Mitigação</x:v>
      </x:c>
      <x:c r="I4" s="105" t="str">
        <x:v>Status</x:v>
      </x:c>
      <x:c r="J4" s="30"/>
      <x:c r="K4" s="30"/>
    </x:row>
    <x:row r="5">
      <x:c r="A5" s="106" t="str">
        <x:v>R-001</x:v>
      </x:c>
      <x:c r="B5" s="106" t="str">
        <x:v>Proposta B iniciar sem Proposta A estar em produção/validada</x:v>
      </x:c>
      <x:c r="C5" s="106" t="str">
        <x:v>Escopo</x:v>
      </x:c>
      <x:c r="D5" s="110" t="n">
        <x:v>4</x:v>
      </x:c>
      <x:c r="E5" s="110" t="n">
        <x:v>5</x:v>
      </x:c>
      <x:c r="F5" s="110" t="n">
        <x:f>D5*E5</x:f>
        <x:v>20</x:v>
      </x:c>
      <x:c r="G5" s="106" t="str">
        <x:v>Gestão/PM</x:v>
      </x:c>
      <x:c r="H5" s="106" t="str">
        <x:v>Tratar A como pré-condição contratual ou incluir base A no plano B</x:v>
      </x:c>
      <x:c r="I5" s="106" t="str">
        <x:v>Em acompanhamento</x:v>
      </x:c>
      <x:c r="J5" s="30"/>
      <x:c r="K5" s="30"/>
    </x:row>
    <x:row r="6">
      <x:c r="A6" s="106" t="str">
        <x:v>R-002</x:v>
      </x:c>
      <x:c r="B6" s="106" t="str">
        <x:v>Planilhas reais com colunas inconsistentes entre empresas</x:v>
      </x:c>
      <x:c r="C6" s="106" t="str">
        <x:v>Dados</x:v>
      </x:c>
      <x:c r="D6" s="110" t="n">
        <x:v>4</x:v>
      </x:c>
      <x:c r="E6" s="110" t="n">
        <x:v>4</x:v>
      </x:c>
      <x:c r="F6" s="110" t="n">
        <x:f>D6*E6</x:f>
        <x:v>16</x:v>
      </x:c>
      <x:c r="G6" s="106" t="str">
        <x:v>Produto/PO</x:v>
      </x:c>
      <x:c r="H6" s="106" t="str">
        <x:v>Mapeamento configurável, preview antes de importar e teste com 2-3 arquivos reais</x:v>
      </x:c>
      <x:c r="I6" s="106" t="str">
        <x:v>Em acompanhamento</x:v>
      </x:c>
      <x:c r="J6" s="30"/>
      <x:c r="K6" s="30"/>
    </x:row>
    <x:row r="7">
      <x:c r="A7" s="106" t="str">
        <x:v>R-003</x:v>
      </x:c>
      <x:c r="B7" s="106" t="str">
        <x:v>Endereços incompletos prejudicam roteirização</x:v>
      </x:c>
      <x:c r="C7" s="106" t="str">
        <x:v>Técnico</x:v>
      </x:c>
      <x:c r="D7" s="110" t="n">
        <x:v>4</x:v>
      </x:c>
      <x:c r="E7" s="110" t="n">
        <x:v>4</x:v>
      </x:c>
      <x:c r="F7" s="110" t="n">
        <x:f>D7*E7</x:f>
        <x:v>16</x:v>
      </x:c>
      <x:c r="G7" s="106" t="str">
        <x:v>GIS/Maps</x:v>
      </x:c>
      <x:c r="H7" s="106" t="str">
        <x:v>Validar geocodificação, campo obrigatório e fallback manual</x:v>
      </x:c>
      <x:c r="I7" s="106" t="str">
        <x:v>Em acompanhamento</x:v>
      </x:c>
      <x:c r="J7" s="30"/>
      <x:c r="K7" s="30"/>
    </x:row>
    <x:row r="8">
      <x:c r="A8" s="106" t="str">
        <x:v>R-004</x:v>
      </x:c>
      <x:c r="B8" s="106" t="str">
        <x:v>Custo Google Maps API acima do previsto</x:v>
      </x:c>
      <x:c r="C8" s="106" t="str">
        <x:v>Financeiro</x:v>
      </x:c>
      <x:c r="D8" s="110" t="n">
        <x:v>3</x:v>
      </x:c>
      <x:c r="E8" s="110" t="n">
        <x:v>4</x:v>
      </x:c>
      <x:c r="F8" s="110" t="n">
        <x:f>D8*E8</x:f>
        <x:v>12</x:v>
      </x:c>
      <x:c r="G8" s="106" t="str">
        <x:v>DevOps/SRE</x:v>
      </x:c>
      <x:c r="H8" s="106" t="str">
        <x:v>Monitorar uso, limites por dia, cache de distâncias e revisão mensal</x:v>
      </x:c>
      <x:c r="I8" s="106" t="str">
        <x:v>Em acompanhamento</x:v>
      </x:c>
      <x:c r="J8" s="30"/>
      <x:c r="K8" s="30"/>
    </x:row>
    <x:row r="9">
      <x:c r="A9" s="106" t="str">
        <x:v>R-005</x:v>
      </x:c>
      <x:c r="B9" s="106" t="str">
        <x:v>Baixa adoção dos motoristas no uso em campo</x:v>
      </x:c>
      <x:c r="C9" s="106" t="str">
        <x:v>Adoção</x:v>
      </x:c>
      <x:c r="D9" s="110" t="n">
        <x:v>4</x:v>
      </x:c>
      <x:c r="E9" s="110" t="n">
        <x:v>5</x:v>
      </x:c>
      <x:c r="F9" s="110" t="n">
        <x:f>D9*E9</x:f>
        <x:v>20</x:v>
      </x:c>
      <x:c r="G9" s="106" t="str">
        <x:v>CS/Treinamento</x:v>
      </x:c>
      <x:c r="H9" s="106" t="str">
        <x:v>Piloto com 2-3 motoristas, guia simples e UX de poucos toques</x:v>
      </x:c>
      <x:c r="I9" s="106" t="str">
        <x:v>Em acompanhamento</x:v>
      </x:c>
      <x:c r="J9" s="30"/>
      <x:c r="K9" s="30"/>
    </x:row>
    <x:row r="10">
      <x:c r="A10" s="106" t="str">
        <x:v>R-006</x:v>
      </x:c>
      <x:c r="B10" s="106" t="str">
        <x:v>Sync offline falhar em regiões de sinal fraco</x:v>
      </x:c>
      <x:c r="C10" s="106" t="str">
        <x:v>Técnico</x:v>
      </x:c>
      <x:c r="D10" s="110" t="n">
        <x:v>3</x:v>
      </x:c>
      <x:c r="E10" s="110" t="n">
        <x:v>5</x:v>
      </x:c>
      <x:c r="F10" s="110" t="n">
        <x:f>D10*E10</x:f>
        <x:v>15</x:v>
      </x:c>
      <x:c r="G10" s="106" t="str">
        <x:v>PWA/Offline</x:v>
      </x:c>
      <x:c r="H10" s="106" t="str">
        <x:v>Teste modo avião, fila IndexedDB, retry e logs de sincronização</x:v>
      </x:c>
      <x:c r="I10" s="106" t="str">
        <x:v>Em acompanhamento</x:v>
      </x:c>
      <x:c r="J10" s="30"/>
      <x:c r="K10" s="30"/>
    </x:row>
    <x:row r="11">
      <x:c r="A11" s="106" t="str">
        <x:v>R-007</x:v>
      </x:c>
      <x:c r="B11" s="106" t="str">
        <x:v>Dados de custo/km, hora e tarifa incompletos geram rentabilidade incorreta</x:v>
      </x:c>
      <x:c r="C11" s="106" t="str">
        <x:v>Financeiro</x:v>
      </x:c>
      <x:c r="D11" s="110" t="n">
        <x:v>4</x:v>
      </x:c>
      <x:c r="E11" s="110" t="n">
        <x:v>4</x:v>
      </x:c>
      <x:c r="F11" s="110" t="n">
        <x:f>D11*E11</x:f>
        <x:v>16</x:v>
      </x:c>
      <x:c r="G11" s="106" t="str">
        <x:v>Financeiro/Controller</x:v>
      </x:c>
      <x:c r="H11" s="106" t="str">
        <x:v>Criar cadastro de custos com responsável e revisão periódica</x:v>
      </x:c>
      <x:c r="I11" s="106" t="str">
        <x:v>Em acompanhamento</x:v>
      </x:c>
      <x:c r="J11" s="30"/>
      <x:c r="K11" s="30"/>
    </x:row>
    <x:row r="12">
      <x:c r="A12" s="106" t="str">
        <x:v>R-008</x:v>
      </x:c>
      <x:c r="B12" s="106" t="str">
        <x:v>Cliente final visualizar dados de outra empresa</x:v>
      </x:c>
      <x:c r="C12" s="106" t="str">
        <x:v>Segurança/LGPD</x:v>
      </x:c>
      <x:c r="D12" s="110" t="n">
        <x:v>2</x:v>
      </x:c>
      <x:c r="E12" s="110" t="n">
        <x:v>5</x:v>
      </x:c>
      <x:c r="F12" s="110" t="n">
        <x:f>D12*E12</x:f>
        <x:v>10</x:v>
      </x:c>
      <x:c r="G12" s="106" t="str">
        <x:v>Arquitetura/QA</x:v>
      </x:c>
      <x:c r="H12" s="106" t="str">
        <x:v>RLS, testes de permissão e usuários de teste por empresa</x:v>
      </x:c>
      <x:c r="I12" s="106" t="str">
        <x:v>Em acompanhamento</x:v>
      </x:c>
      <x:c r="J12" s="30"/>
      <x:c r="K12" s="30"/>
    </x:row>
    <x:row r="13">
      <x:c r="A13" s="106" t="str">
        <x:v>R-009</x:v>
      </x:c>
      <x:c r="B13" s="106" t="str">
        <x:v>Contrato não definir prazo mínimo, IP e rescisão</x:v>
      </x:c>
      <x:c r="C13" s="106" t="str">
        <x:v>Jurídico</x:v>
      </x:c>
      <x:c r="D13" s="110" t="n">
        <x:v>3</x:v>
      </x:c>
      <x:c r="E13" s="110" t="n">
        <x:v>5</x:v>
      </x:c>
      <x:c r="F13" s="110" t="n">
        <x:f>D13*E13</x:f>
        <x:v>15</x:v>
      </x:c>
      <x:c r="G13" s="106" t="str">
        <x:v>Jurídico Contratual</x:v>
      </x:c>
      <x:c r="H13" s="106" t="str">
        <x:v>Cláusulas obrigatórias para modalidade recorrente antes do kickoff</x:v>
      </x:c>
      <x:c r="I13" s="106" t="str">
        <x:v>Em acompanhamento</x:v>
      </x:c>
      <x:c r="J13" s="30"/>
      <x:c r="K13" s="30"/>
    </x:row>
    <x:row r="14">
      <x:c r="A14" s="106" t="str">
        <x:v>R-010</x:v>
      </x:c>
      <x:c r="B14" s="106" t="str">
        <x:v>Margem baixa pela quantidade de personas necessárias</x:v>
      </x:c>
      <x:c r="C14" s="106" t="str">
        <x:v>Margem</x:v>
      </x:c>
      <x:c r="D14" s="110" t="n">
        <x:v>3</x:v>
      </x:c>
      <x:c r="E14" s="110" t="n">
        <x:v>4</x:v>
      </x:c>
      <x:c r="F14" s="110" t="n">
        <x:f>D14*E14</x:f>
        <x:v>12</x:v>
      </x:c>
      <x:c r="G14" s="106" t="str">
        <x:v>UzzAI Empresa</x:v>
      </x:c>
      <x:c r="H14" s="106" t="str">
        <x:v>Acumular papéis, controlar horas e ajustar prazo mínimo/mensalidade se necessário</x:v>
      </x:c>
      <x:c r="I14" s="106" t="str">
        <x:v>Em acompanhamento</x:v>
      </x:c>
      <x:c r="J14" s="30"/>
      <x:c r="K14" s="30"/>
    </x:row>
    <x:row r="15">
      <x:c r="A15" s="106" t="str">
        <x:v>R-011</x:v>
      </x:c>
      <x:c r="B15" s="106" t="str">
        <x:v>Escopo crescer com WhatsApp, ERP, CT-e/NF-e ou app nativo</x:v>
      </x:c>
      <x:c r="C15" s="106" t="str">
        <x:v>Escopo</x:v>
      </x:c>
      <x:c r="D15" s="110" t="n">
        <x:v>4</x:v>
      </x:c>
      <x:c r="E15" s="110" t="n">
        <x:v>5</x:v>
      </x:c>
      <x:c r="F15" s="110" t="n">
        <x:f>D15*E15</x:f>
        <x:v>20</x:v>
      </x:c>
      <x:c r="G15" s="106" t="str">
        <x:v>Gestão/PM</x:v>
      </x:c>
      <x:c r="H15" s="106" t="str">
        <x:v>Fora de escopo formal + processo de change request</x:v>
      </x:c>
      <x:c r="I15" s="106" t="str">
        <x:v>Em acompanhamento</x:v>
      </x:c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I1"/>
    <x:mergeCell ref="A2:I2"/>
  </x:mergeCells>
  <x:conditionalFormatting sqref="F5:F1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C5:C12">
      <x:formula1>Listas!$H$5:$H$12</x:formula1>
    </x:dataValidation>
    <x:dataValidation type="list" sqref="D5:E12">
      <x:formula1>Listas!$F$5:$F$9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c314228dc240f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30" hidden="0" customWidth="1"/>
    <x:col min="5" max="5" width="24" hidden="0" customWidth="1"/>
    <x:col min="6" max="6" width="54" hidden="0" customWidth="1"/>
  </x:cols>
  <x:sheetData>
    <x:row r="1" ht="30" customHeight="1">
      <x:c r="A1" s="68" t="str">
        <x:v>CONTRATO, GOVERNANÇA E SLA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Checklist para proposta, contrato e operação recorrente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Bloco</x:v>
      </x:c>
      <x:c r="B4" s="105" t="str">
        <x:v>Decisão padrão</x:v>
      </x:c>
      <x:c r="C4" s="105" t="str">
        <x:v>Campo editável</x:v>
      </x:c>
      <x:c r="D4" s="105" t="str">
        <x:v>Risco se ignorar</x:v>
      </x:c>
      <x:c r="E4" s="105" t="str">
        <x:v>Responsável</x:v>
      </x:c>
      <x:c r="F4" s="105" t="str">
        <x:v>Observação</x:v>
      </x:c>
      <x:c r="G4" s="30"/>
      <x:c r="H4" s="30"/>
      <x:c r="I4" s="30"/>
      <x:c r="J4" s="30"/>
      <x:c r="K4" s="30"/>
    </x:row>
    <x:row r="5">
      <x:c r="A5" s="106" t="str">
        <x:v>Escopo</x:v>
      </x:c>
      <x:c r="B5" s="106" t="str">
        <x:v>Anexar Proposta B + Escopo Técnico R01 + backlog de aceite</x:v>
      </x:c>
      <x:c r="C5" s="106" t="str">
        <x:v>Versão/anexo</x:v>
      </x:c>
      <x:c r="D5" s="106" t="str">
        <x:v>Feature creep</x:v>
      </x:c>
      <x:c r="E5" s="106" t="str">
        <x:v>Gestão/PM</x:v>
      </x:c>
      <x:c r="F5" s="106" t="str">
        <x:v>Deixar claro: B = A + módulos gerenciais/financeiros/visuais</x:v>
      </x:c>
      <x:c r="G5" s="30"/>
      <x:c r="H5" s="30"/>
      <x:c r="I5" s="30"/>
      <x:c r="J5" s="30"/>
      <x:c r="K5" s="30"/>
    </x:row>
    <x:row r="6">
      <x:c r="A6" s="106" t="str">
        <x:v>Pré-condição</x:v>
      </x:c>
      <x:c r="B6" s="106" t="str">
        <x:v>Proposta A deve estar em produção e validada ou ser absorvida no cronograma B</x:v>
      </x:c>
      <x:c r="C6" s="106" t="str">
        <x:v>Sim/não</x:v>
      </x:c>
      <x:c r="D6" s="106" t="str">
        <x:v>Prazo irreal</x:v>
      </x:c>
      <x:c r="E6" s="106" t="str">
        <x:v>UzzAI Empresa</x:v>
      </x:c>
      <x:c r="F6" s="106" t="str">
        <x:v>O PDF informa que o prazo B pressupõe A validada</x:v>
      </x:c>
      <x:c r="G6" s="30"/>
      <x:c r="H6" s="30"/>
      <x:c r="I6" s="30"/>
      <x:c r="J6" s="30"/>
      <x:c r="K6" s="30"/>
    </x:row>
    <x:row r="7">
      <x:c r="A7" s="106" t="str">
        <x:v>Pagamento</x:v>
      </x:c>
      <x:c r="B7" s="106" t="str">
        <x:v>Modalidade 2: sinal R$ 4.500 + R$ 1.500/mês</x:v>
      </x:c>
      <x:c r="C7" s="106" t="str">
        <x:v>Prazo mínimo</x:v>
      </x:c>
      <x:c r="D7" s="106" t="str">
        <x:v>Caixa negativo</x:v>
      </x:c>
      <x:c r="E7" s="106" t="str">
        <x:v>UzzAI Empresa</x:v>
      </x:c>
      <x:c r="F7" s="106" t="str">
        <x:v>Planilha assume 36 meses para análise; ajustar se contrato definir outro prazo</x:v>
      </x:c>
      <x:c r="G7" s="30"/>
      <x:c r="H7" s="30"/>
      <x:c r="I7" s="30"/>
      <x:c r="J7" s="30"/>
      <x:c r="K7" s="30"/>
    </x:row>
    <x:row r="8">
      <x:c r="A8" s="106" t="str">
        <x:v>Propriedade intelectual</x:v>
      </x:c>
      <x:c r="B8" s="106" t="str">
        <x:v>Código-fonte, licença de uso e transferência devem ser definidos</x:v>
      </x:c>
      <x:c r="C8" s="106" t="str">
        <x:v>Licença/transferência</x:v>
      </x:c>
      <x:c r="D8" s="106" t="str">
        <x:v>Perda de produto/SaaS</x:v>
      </x:c>
      <x:c r="E8" s="106" t="str">
        <x:v>Jurídico Contratual</x:v>
      </x:c>
      <x:c r="F8" s="106" t="str">
        <x:v>Separar código-base UzzAI x customização Rotta</x:v>
      </x:c>
      <x:c r="G8" s="30"/>
      <x:c r="H8" s="30"/>
      <x:c r="I8" s="30"/>
      <x:c r="J8" s="30"/>
      <x:c r="K8" s="30"/>
    </x:row>
    <x:row r="9">
      <x:c r="A9" s="106" t="str">
        <x:v>SLA</x:v>
      </x:c>
      <x:c r="B9" s="106" t="str">
        <x:v>Suporte mensal coberto pela recorrência com criticidade definida</x:v>
      </x:c>
      <x:c r="C9" s="106" t="str">
        <x:v>Tempos por severidade</x:v>
      </x:c>
      <x:c r="D9" s="106" t="str">
        <x:v>Suporte sem limite</x:v>
      </x:c>
      <x:c r="E9" s="106" t="str">
        <x:v>CS/Treinamento</x:v>
      </x:c>
      <x:c r="F9" s="106" t="str">
        <x:v>Diferenciar bug, dúvida, melhoria e nova feature</x:v>
      </x:c>
      <x:c r="G9" s="30"/>
      <x:c r="H9" s="30"/>
      <x:c r="I9" s="30"/>
      <x:c r="J9" s="30"/>
      <x:c r="K9" s="30"/>
    </x:row>
    <x:row r="10">
      <x:c r="A10" s="106" t="str">
        <x:v>Change request</x:v>
      </x:c>
      <x:c r="B10" s="106" t="str">
        <x:v>WhatsApp, ERP, CT-e/NF-e, app nativo e permissões avançadas ficam fora</x:v>
      </x:c>
      <x:c r="C10" s="106" t="str">
        <x:v>Processo CR</x:v>
      </x:c>
      <x:c r="D10" s="106" t="str">
        <x:v>Escopo explode</x:v>
      </x:c>
      <x:c r="E10" s="106" t="str">
        <x:v>Gestão/PM</x:v>
      </x:c>
      <x:c r="F10" s="106" t="str">
        <x:v>Cada nova feature = orçamento/prazo separados</x:v>
      </x:c>
      <x:c r="G10" s="30"/>
      <x:c r="H10" s="30"/>
      <x:c r="I10" s="30"/>
      <x:c r="J10" s="30"/>
      <x:c r="K10" s="30"/>
    </x:row>
    <x:row r="11">
      <x:c r="A11" s="106" t="str">
        <x:v>LGPD</x:v>
      </x:c>
      <x:c r="B11" s="106" t="str">
        <x:v>Política de privacidade, termos de uso, retenção e acesso mínimo</x:v>
      </x:c>
      <x:c r="C11" s="106" t="str">
        <x:v>Política publicada</x:v>
      </x:c>
      <x:c r="D11" s="106" t="str">
        <x:v>Risco jurídico</x:v>
      </x:c>
      <x:c r="E11" s="106" t="str">
        <x:v>Segurança/LGPD</x:v>
      </x:c>
      <x:c r="F11" s="106" t="str">
        <x:v>Fotos de canhoto, dados de motoristas e clientes</x:v>
      </x:c>
      <x:c r="G11" s="30"/>
      <x:c r="H11" s="30"/>
      <x:c r="I11" s="30"/>
      <x:c r="J11" s="30"/>
      <x:c r="K11" s="30"/>
    </x:row>
    <x:row r="12">
      <x:c r="A12" s="106" t="str">
        <x:v>NDA</x:v>
      </x:c>
      <x:c r="B12" s="106" t="str">
        <x:v>Confidencialidade mútua para dados operacionais e tecnologia UzzAI</x:v>
      </x:c>
      <x:c r="C12" s="106" t="str">
        <x:v>Assinar antes do acesso</x:v>
      </x:c>
      <x:c r="D12" s="106" t="str">
        <x:v>Exposição comercial</x:v>
      </x:c>
      <x:c r="E12" s="106" t="str">
        <x:v>Jurídico Contratual</x:v>
      </x:c>
      <x:c r="F12" s="106" t="str">
        <x:v>Obrigatório antes de receber planilhas reais</x:v>
      </x:c>
      <x:c r="G12" s="30"/>
      <x:c r="H12" s="30"/>
      <x:c r="I12" s="30"/>
      <x:c r="J12" s="30"/>
      <x:c r="K12" s="30"/>
    </x:row>
    <x:row r="13">
      <x:c r="A13" s="106" t="str">
        <x:v>APIs externas</x:v>
      </x:c>
      <x:c r="B13" s="106" t="str">
        <x:v>Definir limites de uso e política de custos do Google Maps</x:v>
      </x:c>
      <x:c r="C13" s="106" t="str">
        <x:v>Limites/mensal</x:v>
      </x:c>
      <x:c r="D13" s="106" t="str">
        <x:v>Custo variável</x:v>
      </x:c>
      <x:c r="E13" s="106" t="str">
        <x:v>DevOps/SRE</x:v>
      </x:c>
      <x:c r="F13" s="106" t="str">
        <x:v>Planilha estima custo interno; contrato deve prever uso excessivo</x:v>
      </x:c>
      <x:c r="G13" s="30"/>
      <x:c r="H13" s="30"/>
      <x:c r="I13" s="30"/>
      <x:c r="J13" s="30"/>
      <x:c r="K13" s="30"/>
    </x:row>
    <x:row r="14">
      <x:c r="A14" s="106" t="str">
        <x:v>Aceite</x:v>
      </x:c>
      <x:c r="B14" s="106" t="str">
        <x:v>DoD por módulo e homologação com dados reais</x:v>
      </x:c>
      <x:c r="C14" s="106" t="str">
        <x:v>Checklist</x:v>
      </x:c>
      <x:c r="D14" s="106" t="str">
        <x:v>Entrega subjetiva</x:v>
      </x:c>
      <x:c r="E14" s="106" t="str">
        <x:v>Arquitetura/QA</x:v>
      </x:c>
      <x:c r="F14" s="106" t="str">
        <x:v>Usar aba Escopo_Backlog</x:v>
      </x:c>
      <x:c r="G14" s="30"/>
      <x:c r="H14" s="30"/>
      <x:c r="I14" s="30"/>
      <x:c r="J14" s="30"/>
      <x:c r="K14" s="30"/>
    </x:row>
    <x:row r="15">
      <x:c r="A15" s="106" t="str">
        <x:v>Rescisão</x:v>
      </x:c>
      <x:c r="B15" s="106" t="str">
        <x:v>Multa/aviso prévio compatível com diluição do desenvolvimento</x:v>
      </x:c>
      <x:c r="C15" s="106" t="str">
        <x:v>Multa/prazo</x:v>
      </x:c>
      <x:c r="D15" s="106" t="str">
        <x:v>Inadimplência e perda de MRR</x:v>
      </x:c>
      <x:c r="E15" s="106" t="str">
        <x:v>UzzAI Empresa</x:v>
      </x:c>
      <x:c r="F15" s="106" t="str">
        <x:v>Crítico na modalidade apenas recorrência</x:v>
      </x:c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4" hidden="0" customWidth="1"/>
    <x:col min="5" max="5" width="38" hidden="0" customWidth="1"/>
    <x:col min="6" max="6" width="42" hidden="0" customWidth="1"/>
    <x:col min="7" max="7" width="52" hidden="0" customWidth="1"/>
  </x:cols>
  <x:sheetData>
    <x:row r="1" ht="30" customHeight="1">
      <x:c r="A1" s="68" t="str">
        <x:v>CRM E IMPLANTAÇÃO</x:v>
      </x:c>
      <x:c r="B1" s="68"/>
      <x:c r="C1" s="68"/>
      <x:c r="D1" s="68"/>
      <x:c r="E1" s="68"/>
      <x:c r="F1" s="68"/>
      <x:c r="G1" s="68"/>
      <x:c r="H1" s="30"/>
      <x:c r="I1" s="30"/>
      <x:c r="J1" s="30"/>
      <x:c r="K1" s="30"/>
    </x:row>
    <x:row r="2" ht="24" customHeight="1">
      <x:c r="A2" s="69" t="str">
        <x:v>Da venda ao pós-venda: próximos passos, evidências e responsáveis</x:v>
      </x:c>
      <x:c r="B2" s="69"/>
      <x:c r="C2" s="69"/>
      <x:c r="D2" s="69"/>
      <x:c r="E2" s="69"/>
      <x:c r="F2" s="69"/>
      <x:c r="G2" s="69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Etapa</x:v>
      </x:c>
      <x:c r="B4" s="105" t="str">
        <x:v>Owner</x:v>
      </x:c>
      <x:c r="C4" s="105" t="str">
        <x:v>Status</x:v>
      </x:c>
      <x:c r="D4" s="105" t="str">
        <x:v>Data</x:v>
      </x:c>
      <x:c r="E4" s="105" t="str">
        <x:v>Evidência</x:v>
      </x:c>
      <x:c r="F4" s="105" t="str">
        <x:v>Próxima ação</x:v>
      </x:c>
      <x:c r="G4" s="105" t="str">
        <x:v>Observação</x:v>
      </x:c>
      <x:c r="H4" s="30"/>
      <x:c r="I4" s="30"/>
      <x:c r="J4" s="30"/>
      <x:c r="K4" s="30"/>
    </x:row>
    <x:row r="5">
      <x:c r="A5" s="106" t="str">
        <x:v>Discovery</x:v>
      </x:c>
      <x:c r="B5" s="106" t="str">
        <x:v>Comercial/Account</x:v>
      </x:c>
      <x:c r="C5" s="106" t="str">
        <x:v>Concluído</x:v>
      </x:c>
      <x:c r="D5" s="107" t="n">
        <x:v>46194</x:v>
      </x:c>
      <x:c r="E5" s="106" t="str">
        <x:v>Reunião/notas e proposta</x:v>
      </x:c>
      <x:c r="F5" s="106" t="str">
        <x:v>Validar modalidade escolhida</x:v>
      </x:c>
      <x:c r="G5" s="106" t="str">
        <x:v>Dor central: canhotos em tempo real</x:v>
      </x:c>
      <x:c r="H5" s="30"/>
      <x:c r="I5" s="30"/>
      <x:c r="J5" s="30"/>
      <x:c r="K5" s="30"/>
    </x:row>
    <x:row r="6">
      <x:c r="A6" s="106" t="str">
        <x:v>Proposta B</x:v>
      </x:c>
      <x:c r="B6" s="106" t="str">
        <x:v>Comercial/Account</x:v>
      </x:c>
      <x:c r="C6" s="106" t="str">
        <x:v>Em andamento</x:v>
      </x:c>
      <x:c r="D6" s="107" t="n">
        <x:v>46202</x:v>
      </x:c>
      <x:c r="E6" s="106" t="str">
        <x:v>PDF + escopo técnico + planilha preenchida</x:v>
      </x:c>
      <x:c r="F6" s="106" t="str">
        <x:v>Enviar versão final para decisão</x:v>
      </x:c>
      <x:c r="G6" s="106" t="str">
        <x:v>Sinal R$ 4.500 + R$ 1.500/mês</x:v>
      </x:c>
      <x:c r="H6" s="30"/>
      <x:c r="I6" s="30"/>
      <x:c r="J6" s="30"/>
      <x:c r="K6" s="30"/>
    </x:row>
    <x:row r="7">
      <x:c r="A7" s="106" t="str">
        <x:v>Validação Proposta A</x:v>
      </x:c>
      <x:c r="B7" s="106" t="str">
        <x:v>Gestão/PM</x:v>
      </x:c>
      <x:c r="C7" s="106" t="str">
        <x:v>Pendente</x:v>
      </x:c>
      <x:c r="D7" s="107"/>
      <x:c r="E7" s="106" t="str">
        <x:v>Evidência de A em produção/validada</x:v>
      </x:c>
      <x:c r="F7" s="106" t="str">
        <x:v>Confirmar pré-condição</x:v>
      </x:c>
      <x:c r="G7" s="106" t="str">
        <x:v>Se A não existir, ajustar cronograma e escopo</x:v>
      </x:c>
      <x:c r="H7" s="30"/>
      <x:c r="I7" s="30"/>
      <x:c r="J7" s="30"/>
      <x:c r="K7" s="30"/>
    </x:row>
    <x:row r="8">
      <x:c r="A8" s="106" t="str">
        <x:v>Contrato/NDA/SLA</x:v>
      </x:c>
      <x:c r="B8" s="106" t="str">
        <x:v>Jurídico Contratual</x:v>
      </x:c>
      <x:c r="C8" s="106" t="str">
        <x:v>Não iniciado</x:v>
      </x:c>
      <x:c r="D8" s="107"/>
      <x:c r="E8" s="106" t="str">
        <x:v>Contrato assinado</x:v>
      </x:c>
      <x:c r="F8" s="106" t="str">
        <x:v>Definir prazo mínimo, IP, rescisão e LGPD</x:v>
      </x:c>
      <x:c r="G8" s="106" t="str">
        <x:v>Obrigatório antes do kickoff</x:v>
      </x:c>
      <x:c r="H8" s="30"/>
      <x:c r="I8" s="30"/>
      <x:c r="J8" s="30"/>
      <x:c r="K8" s="30"/>
    </x:row>
    <x:row r="9">
      <x:c r="A9" s="106" t="str">
        <x:v>Coleta de dados reais</x:v>
      </x:c>
      <x:c r="B9" s="106" t="str">
        <x:v>Produto/PO</x:v>
      </x:c>
      <x:c r="C9" s="106" t="str">
        <x:v>Não iniciado</x:v>
      </x:c>
      <x:c r="D9" s="107"/>
      <x:c r="E9" s="106" t="str">
        <x:v>2-3 Excel reais + lista motoristas/clientes</x:v>
      </x:c>
      <x:c r="F9" s="106" t="str">
        <x:v>Solicitar ao Matheus</x:v>
      </x:c>
      <x:c r="G9" s="106" t="str">
        <x:v>Também coletar custos/km, tarifa e custo/hora</x:v>
      </x:c>
      <x:c r="H9" s="30"/>
      <x:c r="I9" s="30"/>
      <x:c r="J9" s="30"/>
      <x:c r="K9" s="30"/>
    </x:row>
    <x:row r="10">
      <x:c r="A10" s="106" t="str">
        <x:v>Kickoff técnico</x:v>
      </x:c>
      <x:c r="B10" s="106" t="str">
        <x:v>Gestão/PM</x:v>
      </x:c>
      <x:c r="C10" s="106" t="str">
        <x:v>Não iniciado</x:v>
      </x:c>
      <x:c r="D10" s="107"/>
      <x:c r="E10" s="106" t="str">
        <x:v>Ata + backlog congelado</x:v>
      </x:c>
      <x:c r="F10" s="106" t="str">
        <x:v>Abrir repositório/ambientes</x:v>
      </x:c>
      <x:c r="G10" s="106" t="str">
        <x:v>Alinhar papéis e responsáveis</x:v>
      </x:c>
      <x:c r="H10" s="30"/>
      <x:c r="I10" s="30"/>
      <x:c r="J10" s="30"/>
      <x:c r="K10" s="30"/>
    </x:row>
    <x:row r="11">
      <x:c r="A11" s="106" t="str">
        <x:v>Desenvolvimento B</x:v>
      </x:c>
      <x:c r="B11" s="106" t="str">
        <x:v>Responsável técnico</x:v>
      </x:c>
      <x:c r="C11" s="106" t="str">
        <x:v>Não iniciado</x:v>
      </x:c>
      <x:c r="D11" s="107"/>
      <x:c r="E11" s="106" t="str">
        <x:v>Staging, PRs e testes</x:v>
      </x:c>
      <x:c r="F11" s="106" t="str">
        <x:v>Executar sprints</x:v>
      </x:c>
      <x:c r="G11" s="106" t="str">
        <x:v>Roteirização, BI, financeiro, dashboards</x:v>
      </x:c>
      <x:c r="H11" s="30"/>
      <x:c r="I11" s="30"/>
      <x:c r="J11" s="30"/>
      <x:c r="K11" s="30"/>
    </x:row>
    <x:row r="12">
      <x:c r="A12" s="106" t="str">
        <x:v>Homologação</x:v>
      </x:c>
      <x:c r="B12" s="106" t="str">
        <x:v>Arquitetura/QA</x:v>
      </x:c>
      <x:c r="C12" s="106" t="str">
        <x:v>Não iniciado</x:v>
      </x:c>
      <x:c r="D12" s="107"/>
      <x:c r="E12" s="106" t="str">
        <x:v>Checklist aceite + dados reais</x:v>
      </x:c>
      <x:c r="F12" s="106" t="str">
        <x:v>Rodar testes E2E</x:v>
      </x:c>
      <x:c r="G12" s="106" t="str">
        <x:v>Mobile, offline, permissões e exportação</x:v>
      </x:c>
      <x:c r="H12" s="30"/>
      <x:c r="I12" s="30"/>
      <x:c r="J12" s="30"/>
      <x:c r="K12" s="30"/>
    </x:row>
    <x:row r="13">
      <x:c r="A13" s="106" t="str">
        <x:v>Go-live</x:v>
      </x:c>
      <x:c r="B13" s="106" t="str">
        <x:v>CS/Treinamento</x:v>
      </x:c>
      <x:c r="C13" s="106" t="str">
        <x:v>Não iniciado</x:v>
      </x:c>
      <x:c r="D13" s="107"/>
      <x:c r="E13" s="106" t="str">
        <x:v>Produção ativa + logins</x:v>
      </x:c>
      <x:c r="F13" s="106" t="str">
        <x:v>Treinar equipe</x:v>
      </x:c>
      <x:c r="G13" s="106" t="str">
        <x:v>16 motoristas + ~20 empresas</x:v>
      </x:c>
      <x:c r="H13" s="30"/>
      <x:c r="I13" s="30"/>
      <x:c r="J13" s="30"/>
      <x:c r="K13" s="30"/>
    </x:row>
    <x:row r="14">
      <x:c r="A14" s="106" t="str">
        <x:v>Pós-venda</x:v>
      </x:c>
      <x:c r="B14" s="106" t="str">
        <x:v>Comercial/Account</x:v>
      </x:c>
      <x:c r="C14" s="106" t="str">
        <x:v>Não iniciado</x:v>
      </x:c>
      <x:c r="D14" s="107"/>
      <x:c r="E14" s="106" t="str">
        <x:v>Feedback/NPS + métricas uso</x:v>
      </x:c>
      <x:c r="F14" s="106" t="str">
        <x:v>Revisar expansão e CRs</x:v>
      </x:c>
      <x:c r="G14" s="106" t="str">
        <x:v>Monitorar adoção e custos API</x:v>
      </x:c>
      <x:c r="H14" s="30"/>
      <x:c r="I14" s="30"/>
      <x:c r="J14" s="30"/>
      <x:c r="K14" s="30"/>
    </x:row>
    <x:row r="15">
      <x:c r="A15" s="30"/>
      <x:c r="B15" s="30"/>
      <x:c r="C15" s="30"/>
      <x:c r="D15" s="96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G1"/>
    <x:mergeCell ref="A2:G2"/>
  </x:mergeCells>
  <x:dataValidations count="1">
    <x:dataValidation type="list" sqref="C5:C14">
      <x:formula1>Listas!$E$5:$E$11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1.630001068115234" hidden="0" customWidth="1"/>
    <x:col min="2" max="2" width="22.8799991607666" hidden="0" customWidth="1"/>
    <x:col min="3" max="3" width="13.5" hidden="0" customWidth="1"/>
    <x:col min="4" max="4" width="8.5" hidden="0" customWidth="1"/>
    <x:col min="5" max="5" width="11.880000114440918" hidden="0" customWidth="1"/>
    <x:col min="6" max="6" width="11.130000114440918" hidden="0" customWidth="1"/>
    <x:col min="7" max="7" width="6.75" hidden="0" customWidth="1"/>
    <x:col min="8" max="8" width="16.3799991607666" hidden="0" customWidth="1"/>
    <x:col min="9" max="9" width="11.880000114440918" hidden="0" customWidth="1"/>
    <x:col min="10" max="10" width="17.3799991607666" hidden="0" customWidth="1"/>
  </x:cols>
  <x:sheetData>
    <x:row r="1" ht="30" customHeight="1">
      <x:c r="A1" s="68" t="str">
        <x:v>LISTAS E VALIDAÇÕES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Edite as opções que alimentam dropdowns do template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Propostas</x:v>
      </x:c>
      <x:c r="B4" s="105" t="str">
        <x:v>Modelos Comerciais</x:v>
      </x:c>
      <x:c r="C4" s="105" t="str">
        <x:v>Status Projeto</x:v>
      </x:c>
      <x:c r="D4" s="105" t="str">
        <x:v>Prioridade</x:v>
      </x:c>
      <x:c r="E4" s="105" t="str">
        <x:v>Status Tarefa</x:v>
      </x:c>
      <x:c r="F4" s="105" t="str">
        <x:v>Probabilidade</x:v>
      </x:c>
      <x:c r="G4" s="105" t="str">
        <x:v>Impacto</x:v>
      </x:c>
      <x:c r="H4" s="105" t="str">
        <x:v>Categoria Risco</x:v>
      </x:c>
      <x:c r="I4" s="105" t="str">
        <x:v>Tipo Item</x:v>
      </x:c>
      <x:c r="J4" s="105" t="str">
        <x:v>Papel</x:v>
      </x:c>
      <x:c r="K4" s="30"/>
    </x:row>
    <x:row r="5">
      <x:c r="A5" s="106" t="str">
        <x:v>A - MVP Enxuto</x:v>
      </x:c>
      <x:c r="B5" s="106" t="str">
        <x:v>Opção 1 - Setup + Recorrência</x:v>
      </x:c>
      <x:c r="C5" s="106" t="str">
        <x:v>Lead</x:v>
      </x:c>
      <x:c r="D5" s="106" t="str">
        <x:v>Crítica</x:v>
      </x:c>
      <x:c r="E5" s="106" t="str">
        <x:v>Não iniciado</x:v>
      </x:c>
      <x:c r="F5" s="106" t="n">
        <x:v>1</x:v>
      </x:c>
      <x:c r="G5" s="106" t="n">
        <x:v>1</x:v>
      </x:c>
      <x:c r="H5" s="106" t="str">
        <x:v>Comercial</x:v>
      </x:c>
      <x:c r="I5" s="106" t="str">
        <x:v>Funcionalidade</x:v>
      </x:c>
      <x:c r="J5" s="106" t="str">
        <x:v>Comercial/Account</x:v>
      </x:c>
      <x:c r="K5" s="30"/>
    </x:row>
    <x:row r="6">
      <x:c r="A6" s="106" t="str">
        <x:v>B - MVP Completo</x:v>
      </x:c>
      <x:c r="B6" s="106" t="str">
        <x:v>Opção 2 - Apenas Recorrência</x:v>
      </x:c>
      <x:c r="C6" s="106" t="str">
        <x:v>Proposta</x:v>
      </x:c>
      <x:c r="D6" s="106" t="str">
        <x:v>Alta</x:v>
      </x:c>
      <x:c r="E6" s="106" t="str">
        <x:v>Em andamento</x:v>
      </x:c>
      <x:c r="F6" s="106" t="n">
        <x:v>2</x:v>
      </x:c>
      <x:c r="G6" s="106" t="n">
        <x:v>2</x:v>
      </x:c>
      <x:c r="H6" s="106" t="str">
        <x:v>Técnico</x:v>
      </x:c>
      <x:c r="I6" s="106" t="str">
        <x:v>Integração</x:v>
      </x:c>
      <x:c r="J6" s="106" t="str">
        <x:v>Gestão/PM</x:v>
      </x:c>
      <x:c r="K6" s="30"/>
    </x:row>
    <x:row r="7">
      <x:c r="A7" s="106" t="str">
        <x:v>C - Evolução / Add-on</x:v>
      </x:c>
      <x:c r="B7" s="106" t="str">
        <x:v>Opção 3 - Setup Único</x:v>
      </x:c>
      <x:c r="C7" s="106" t="str">
        <x:v>Negociação</x:v>
      </x:c>
      <x:c r="D7" s="106" t="str">
        <x:v>Média</x:v>
      </x:c>
      <x:c r="E7" s="106" t="str">
        <x:v>Bloqueado</x:v>
      </x:c>
      <x:c r="F7" s="106" t="n">
        <x:v>3</x:v>
      </x:c>
      <x:c r="G7" s="106" t="n">
        <x:v>3</x:v>
      </x:c>
      <x:c r="H7" s="106" t="str">
        <x:v>Financeiro</x:v>
      </x:c>
      <x:c r="I7" s="106" t="str">
        <x:v>Infra</x:v>
      </x:c>
      <x:c r="J7" s="106" t="str">
        <x:v>Produto/PO</x:v>
      </x:c>
      <x:c r="K7" s="30"/>
    </x:row>
    <x:row r="8">
      <x:c r="A8" s="106" t="str">
        <x:v>D - Custom</x:v>
      </x:c>
      <x:c r="B8" s="106" t="str">
        <x:v>Opção 4 - Híbrida</x:v>
      </x:c>
      <x:c r="C8" s="106" t="str">
        <x:v>Contrato</x:v>
      </x:c>
      <x:c r="D8" s="106" t="str">
        <x:v>Baixa</x:v>
      </x:c>
      <x:c r="E8" s="106" t="str">
        <x:v>Concluído</x:v>
      </x:c>
      <x:c r="F8" s="106" t="n">
        <x:v>4</x:v>
      </x:c>
      <x:c r="G8" s="106" t="n">
        <x:v>4</x:v>
      </x:c>
      <x:c r="H8" s="106" t="str">
        <x:v>Operacional</x:v>
      </x:c>
      <x:c r="I8" s="106" t="str">
        <x:v>IA/Automação</x:v>
      </x:c>
      <x:c r="J8" s="106" t="str">
        <x:v>UX/UI</x:v>
      </x:c>
      <x:c r="K8" s="30"/>
    </x:row>
    <x:row r="9">
      <x:c r="A9" s="106"/>
      <x:c r="B9" s="106" t="str">
        <x:v>Custom</x:v>
      </x:c>
      <x:c r="C9" s="106" t="str">
        <x:v>Desenvolvimento</x:v>
      </x:c>
      <x:c r="D9" s="106"/>
      <x:c r="E9" s="106" t="str">
        <x:v>Validado</x:v>
      </x:c>
      <x:c r="F9" s="106" t="n">
        <x:v>5</x:v>
      </x:c>
      <x:c r="G9" s="106" t="n">
        <x:v>5</x:v>
      </x:c>
      <x:c r="H9" s="106" t="str">
        <x:v>Jurídico</x:v>
      </x:c>
      <x:c r="I9" s="106" t="str">
        <x:v>Relatório</x:v>
      </x:c>
      <x:c r="J9" s="106" t="str">
        <x:v>Dev Frontend/Produto</x:v>
      </x:c>
      <x:c r="K9" s="30"/>
    </x:row>
    <x:row r="10">
      <x:c r="A10" s="106"/>
      <x:c r="B10" s="106"/>
      <x:c r="C10" s="106" t="str">
        <x:v>Homologação</x:v>
      </x:c>
      <x:c r="D10" s="106"/>
      <x:c r="E10" s="106" t="str">
        <x:v>Cancelado</x:v>
      </x:c>
      <x:c r="F10" s="106"/>
      <x:c r="G10" s="106"/>
      <x:c r="H10" s="106" t="str">
        <x:v>Adoção</x:v>
      </x:c>
      <x:c r="I10" s="106" t="str">
        <x:v>Suporte</x:v>
      </x:c>
      <x:c r="J10" s="106" t="str">
        <x:v>Dev Backend/Infra</x:v>
      </x:c>
      <x:c r="K10" s="30"/>
    </x:row>
    <x:row r="11">
      <x:c r="A11" s="106"/>
      <x:c r="B11" s="106"/>
      <x:c r="C11" s="106" t="str">
        <x:v>Go-live</x:v>
      </x:c>
      <x:c r="D11" s="106"/>
      <x:c r="E11" s="106"/>
      <x:c r="F11" s="106"/>
      <x:c r="G11" s="106"/>
      <x:c r="H11" s="106" t="str">
        <x:v>Segurança/LGPD</x:v>
      </x:c>
      <x:c r="I11" s="106" t="str">
        <x:v>Contrato</x:v>
      </x:c>
      <x:c r="J11" s="106" t="str">
        <x:v>PWA/Offline</x:v>
      </x:c>
      <x:c r="K11" s="30"/>
    </x:row>
    <x:row r="12">
      <x:c r="A12" s="106"/>
      <x:c r="B12" s="106"/>
      <x:c r="C12" s="106" t="str">
        <x:v>Pós-venda</x:v>
      </x:c>
      <x:c r="D12" s="106"/>
      <x:c r="E12" s="106"/>
      <x:c r="F12" s="106"/>
      <x:c r="G12" s="106"/>
      <x:c r="H12" s="106" t="str">
        <x:v>Escopo</x:v>
      </x:c>
      <x:c r="I12" s="106" t="str">
        <x:v>Treinamento</x:v>
      </x:c>
      <x:c r="J12" s="106" t="str">
        <x:v>GIS/Maps</x:v>
      </x:c>
      <x:c r="K12" s="30"/>
    </x:row>
    <x:row r="13">
      <x:c r="A13" s="106"/>
      <x:c r="B13" s="106"/>
      <x:c r="C13" s="106"/>
      <x:c r="D13" s="106"/>
      <x:c r="E13" s="106"/>
      <x:c r="F13" s="106"/>
      <x:c r="G13" s="106"/>
      <x:c r="H13" s="106" t="str">
        <x:v>Dados</x:v>
      </x:c>
      <x:c r="I13" s="106" t="str">
        <x:v>Dashboard</x:v>
      </x:c>
      <x:c r="J13" s="106" t="str">
        <x:v>Dados/BI</x:v>
      </x:c>
      <x:c r="K13" s="30"/>
    </x:row>
    <x:row r="14">
      <x:c r="A14" s="106"/>
      <x:c r="B14" s="106"/>
      <x:c r="C14" s="106"/>
      <x:c r="D14" s="106"/>
      <x:c r="E14" s="106"/>
      <x:c r="F14" s="106"/>
      <x:c r="G14" s="106"/>
      <x:c r="H14" s="106" t="str">
        <x:v>Infra</x:v>
      </x:c>
      <x:c r="I14" s="106" t="str">
        <x:v>Exportação</x:v>
      </x:c>
      <x:c r="J14" s="106" t="str">
        <x:v>DevOps/SRE</x:v>
      </x:c>
      <x:c r="K14" s="30"/>
    </x:row>
    <x:row r="15">
      <x:c r="A15" s="106"/>
      <x:c r="B15" s="106"/>
      <x:c r="C15" s="106"/>
      <x:c r="D15" s="106"/>
      <x:c r="E15" s="106"/>
      <x:c r="F15" s="106"/>
      <x:c r="G15" s="106"/>
      <x:c r="H15" s="106" t="str">
        <x:v>Produto</x:v>
      </x:c>
      <x:c r="I15" s="106" t="str">
        <x:v>Roteirização</x:v>
      </x:c>
      <x:c r="J15" s="106" t="str">
        <x:v>Arquitetura/QA</x:v>
      </x:c>
      <x:c r="K15" s="30"/>
    </x:row>
    <x:row r="16">
      <x:c r="A16" s="106"/>
      <x:c r="B16" s="106"/>
      <x:c r="C16" s="106"/>
      <x:c r="D16" s="106"/>
      <x:c r="E16" s="106"/>
      <x:c r="F16" s="106"/>
      <x:c r="G16" s="106"/>
      <x:c r="H16" s="106" t="str">
        <x:v>Cliente</x:v>
      </x:c>
      <x:c r="I16" s="106" t="str">
        <x:v>Financeiro</x:v>
      </x:c>
      <x:c r="J16" s="106" t="str">
        <x:v>Segurança/LGPD</x:v>
      </x:c>
      <x:c r="K16" s="30"/>
    </x:row>
    <x:row r="17">
      <x:c r="A17" s="106"/>
      <x:c r="B17" s="106"/>
      <x:c r="C17" s="106"/>
      <x:c r="D17" s="106"/>
      <x:c r="E17" s="106"/>
      <x:c r="F17" s="106"/>
      <x:c r="G17" s="106"/>
      <x:c r="H17" s="106" t="str">
        <x:v>Contrato</x:v>
      </x:c>
      <x:c r="I17" s="106" t="str">
        <x:v>LGPD</x:v>
      </x:c>
      <x:c r="J17" s="106" t="str">
        <x:v>Jurídico Contratual</x:v>
      </x:c>
      <x:c r="K17" s="30"/>
    </x:row>
    <x:row r="18">
      <x:c r="A18" s="106"/>
      <x:c r="B18" s="106"/>
      <x:c r="C18" s="106"/>
      <x:c r="D18" s="106"/>
      <x:c r="E18" s="106"/>
      <x:c r="F18" s="106"/>
      <x:c r="G18" s="106"/>
      <x:c r="H18" s="106" t="str">
        <x:v>Margem</x:v>
      </x:c>
      <x:c r="I18" s="106" t="str">
        <x:v>Go-live</x:v>
      </x:c>
      <x:c r="J18" s="106" t="str">
        <x:v>CS/Treinamento</x:v>
      </x:c>
      <x:c r="K18" s="30"/>
    </x:row>
    <x:row r="19">
      <x:c r="A19" s="106"/>
      <x:c r="B19" s="106"/>
      <x:c r="C19" s="106"/>
      <x:c r="D19" s="106"/>
      <x:c r="E19" s="106"/>
      <x:c r="F19" s="106"/>
      <x:c r="G19" s="106"/>
      <x:c r="H19" s="106" t="str">
        <x:v>Dependência externa</x:v>
      </x:c>
      <x:c r="I19" s="106" t="str">
        <x:v>Operação</x:v>
      </x:c>
      <x:c r="J19" s="106" t="str">
        <x:v>Suporte Técnico</x:v>
      </x:c>
      <x:c r="K19" s="30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 t="str">
        <x:v>Financeiro/Controller</x:v>
      </x:c>
      <x:c r="K20" s="30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 t="str">
        <x:v>UzzAI Empresa</x:v>
      </x:c>
      <x:c r="K21" s="30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 t="str">
        <x:v>Reserva/Produto</x:v>
      </x:c>
      <x:c r="K22" s="30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 t="str">
        <x:v>Cliente/Sponsor</x:v>
      </x:c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4" hidden="0" customWidth="1"/>
    <x:col min="4" max="4" width="18" hidden="0" customWidth="1"/>
    <x:col min="5" max="5" width="24" hidden="0" customWidth="1"/>
    <x:col min="6" max="6" width="64" hidden="0" customWidth="1"/>
  </x:cols>
  <x:sheetData>
    <x:row r="1" ht="30" customHeight="1">
      <x:c r="A1" s="68" t="str">
        <x:v>FONTES, PREMISSAS E CONTROLE DE VERSÃO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Rastreabilidade das decisões comerciais e técnicas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105" t="str">
        <x:v>Item</x:v>
      </x:c>
      <x:c r="B4" s="105" t="str">
        <x:v>Fonte / Premissa</x:v>
      </x:c>
      <x:c r="C4" s="105" t="str">
        <x:v>Data</x:v>
      </x:c>
      <x:c r="D4" s="105" t="str">
        <x:v>Responsável</x:v>
      </x:c>
      <x:c r="E4" s="105" t="str">
        <x:v>Uso</x:v>
      </x:c>
      <x:c r="F4" s="105" t="str">
        <x:v>Observação</x:v>
      </x:c>
      <x:c r="G4" s="30"/>
      <x:c r="H4" s="30"/>
      <x:c r="I4" s="30"/>
      <x:c r="J4" s="30"/>
      <x:c r="K4" s="30"/>
    </x:row>
    <x:row r="5">
      <x:c r="A5" s="106" t="str">
        <x:v>Proposta comercial</x:v>
      </x:c>
      <x:c r="B5" s="106" t="str">
        <x:v>Papel Timbrado Uzz.Ai — Proposta Aliança Log(1).pdf, páginas 6-7</x:v>
      </x:c>
      <x:c r="C5" s="107" t="n">
        <x:v>46202</x:v>
      </x:c>
      <x:c r="D5" s="106" t="str">
        <x:v>UzzAI</x:v>
      </x:c>
      <x:c r="E5" s="106" t="str">
        <x:v>Escopo e valores da Proposta B</x:v>
      </x:c>
      <x:c r="F5" s="106" t="str">
        <x:v>Inclui roteirização, KPIs, financeiro, dashboards, filtros, relatórios; sinal R$ 4.500 + R$ 1.500/mês</x:v>
      </x:c>
      <x:c r="G5" s="30"/>
      <x:c r="H5" s="30"/>
      <x:c r="I5" s="30"/>
      <x:c r="J5" s="30"/>
      <x:c r="K5" s="30"/>
    </x:row>
    <x:row r="6">
      <x:c r="A6" s="106" t="str">
        <x:v>Escopo técnico</x:v>
      </x:c>
      <x:c r="B6" s="106" t="str">
        <x:v>ALIANCA-LOG-ESCOPO-TECNICO-R01(2).md, seções 3, 5, 9, 10, 12</x:v>
      </x:c>
      <x:c r="C6" s="107" t="n">
        <x:v>46194</x:v>
      </x:c>
      <x:c r="D6" s="106" t="str">
        <x:v>UzzAI</x:v>
      </x:c>
      <x:c r="E6" s="106" t="str">
        <x:v>Backlog, stack, cronograma, equipe e critérios de aceite</x:v>
      </x:c>
      <x:c r="F6" s="106" t="str">
        <x:v>Next.js, Supabase, PWA, Maps APIs, RLS e offline-first</x:v>
      </x:c>
      <x:c r="G6" s="30"/>
      <x:c r="H6" s="30"/>
      <x:c r="I6" s="30"/>
      <x:c r="J6" s="30"/>
      <x:c r="K6" s="30"/>
    </x:row>
    <x:row r="7">
      <x:c r="A7" s="106" t="str">
        <x:v>Premissa financeira</x:v>
      </x:c>
      <x:c r="B7" s="106" t="str">
        <x:v>Prazo mínimo de 36 meses usado para análise da modalidade recorrente</x:v>
      </x:c>
      <x:c r="C7" s="107" t="n">
        <x:v>46202</x:v>
      </x:c>
      <x:c r="D7" s="106" t="str">
        <x:v>Pedro Vitor</x:v>
      </x:c>
      <x:c r="E7" s="106" t="str">
        <x:v>Dashboard e precificação</x:v>
      </x:c>
      <x:c r="F7" s="106" t="str">
        <x:v>Ajustar Precificacao!H8 se o contrato definir outro prazo</x:v>
      </x:c>
      <x:c r="G7" s="30"/>
      <x:c r="H7" s="30"/>
      <x:c r="I7" s="30"/>
      <x:c r="J7" s="30"/>
      <x:c r="K7" s="30"/>
    </x:row>
    <x:row r="8">
      <x:c r="A8" s="106" t="str">
        <x:v>Premissa de custos</x:v>
      </x:c>
      <x:c r="B8" s="106" t="str">
        <x:v>Papéis podem ser acumulados pela mesma pessoa para manter margem</x:v>
      </x:c>
      <x:c r="C8" s="107" t="n">
        <x:v>46202</x:v>
      </x:c>
      <x:c r="D8" s="106" t="str">
        <x:v>Pedro Vitor</x:v>
      </x:c>
      <x:c r="E8" s="106" t="str">
        <x:v>Custos e personas</x:v>
      </x:c>
      <x:c r="F8" s="106" t="str">
        <x:v>Planilha modela personas necessárias, não necessariamente pessoas diferentes</x:v>
      </x:c>
      <x:c r="G8" s="30"/>
      <x:c r="H8" s="30"/>
      <x:c r="I8" s="30"/>
      <x:c r="J8" s="30"/>
      <x:c r="K8" s="30"/>
    </x:row>
    <x:row r="9">
      <x:c r="A9" s="106" t="str">
        <x:v>Fora de escopo</x:v>
      </x:c>
      <x:c r="B9" s="106" t="str">
        <x:v>NF/CT-e, ERP, WhatsApp/push, app nativo, múltiplos coordenadores, histórico &gt; 12 meses</x:v>
      </x:c>
      <x:c r="C9" s="107" t="n">
        <x:v>46202</x:v>
      </x:c>
      <x:c r="D9" s="106" t="str">
        <x:v>UzzAI</x:v>
      </x:c>
      <x:c r="E9" s="106" t="str">
        <x:v>Contrato e riscos</x:v>
      </x:c>
      <x:c r="F9" s="106" t="str">
        <x:v>Tratar como change request</x:v>
      </x:c>
      <x:c r="G9" s="30"/>
      <x:c r="H9" s="30"/>
      <x:c r="I9" s="30"/>
      <x:c r="J9" s="30"/>
      <x:c r="K9" s="30"/>
    </x:row>
    <x:row r="10">
      <x:c r="A10" s="106" t="str">
        <x:v>LGPD/Jurídico</x:v>
      </x:c>
      <x:c r="B10" s="106" t="str">
        <x:v>Contrato, NDA, Termos de Uso e Política de Privacidade obrigatórios</x:v>
      </x:c>
      <x:c r="C10" s="107" t="n">
        <x:v>46202</x:v>
      </x:c>
      <x:c r="D10" s="106" t="str">
        <x:v>Jurídico Contratual</x:v>
      </x:c>
      <x:c r="E10" s="106" t="str">
        <x:v>Governança</x:v>
      </x:c>
      <x:c r="F10" s="106" t="str">
        <x:v>Formalizar IP, SLA, retenção, rescisão e suporte</x:v>
      </x:c>
      <x:c r="G10" s="30"/>
      <x:c r="H10" s="30"/>
      <x:c r="I10" s="30"/>
      <x:c r="J10" s="30"/>
      <x:c r="K10" s="30"/>
    </x:row>
    <x:row r="11">
      <x:c r="A11" s="30"/>
      <x:c r="B11" s="30"/>
      <x:c r="C11" s="96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96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4" hidden="0" customWidth="1"/>
    <x:col min="5" max="5" width="22" hidden="0" customWidth="1"/>
    <x:col min="6" max="6" width="18" hidden="0" customWidth="1"/>
    <x:col min="7" max="7" width="54" hidden="0" customWidth="1"/>
    <x:col min="8" max="8" width="42" hidden="0" customWidth="1"/>
    <x:col min="9" max="9" width="42" hidden="0" customWidth="1"/>
    <x:col min="10" max="10" width="40" hidden="0" customWidth="1"/>
    <x:col min="11" max="11" width="28" hidden="0" customWidth="1"/>
  </x:cols>
  <x:sheetData>
    <x:row r="1" ht="32" customHeight="1">
      <x:c r="A1" s="122" t="str">
        <x:v>PERSONAS NECESSÁRIAS — EXECUÇÃO COMPLETA ALIANÇA LOG / PROPOSTA B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</x:row>
    <x:row r="2" ht="32" customHeight="1">
      <x:c r="A2" s="126" t="str">
        <x:v>Observação: persona ≠ pessoa. Em time enxuto, uma pessoa pode acumular 2 ou 3 papéis, desde que os riscos de qualidade, prazo, jurídico e suporte fiquem cobertos.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05" t="str">
        <x:v>Persona/Papel</x:v>
      </x:c>
      <x:c r="B4" s="105" t="str">
        <x:v>Tipo</x:v>
      </x:c>
      <x:c r="C4" s="105" t="str">
        <x:v>Obrigatoriedade</x:v>
      </x:c>
      <x:c r="D4" s="105" t="str">
        <x:v>Responsável sugerido</x:v>
      </x:c>
      <x:c r="E4" s="105" t="str">
        <x:v>Fase principal</x:v>
      </x:c>
      <x:c r="F4" s="105" t="str">
        <x:v>Dedicação estimada</x:v>
      </x:c>
      <x:c r="G4" s="105" t="str">
        <x:v>Responsabilidades principais</x:v>
      </x:c>
      <x:c r="H4" s="105" t="str">
        <x:v>Entregáveis</x:v>
      </x:c>
      <x:c r="I4" s="105" t="str">
        <x:v>Critério de aceite</x:v>
      </x:c>
      <x:c r="J4" s="105" t="str">
        <x:v>Risco se faltar</x:v>
      </x:c>
      <x:c r="K4" s="105" t="str">
        <x:v>Pode acumular com</x:v>
      </x:c>
    </x:row>
    <x:row r="5">
      <x:c r="A5" s="106" t="str">
        <x:v>Comercial/Account</x:v>
      </x:c>
      <x:c r="B5" s="106" t="str">
        <x:v>Comercial</x:v>
      </x:c>
      <x:c r="C5" s="106" t="str">
        <x:v>Essencial</x:v>
      </x:c>
      <x:c r="D5" s="106" t="str">
        <x:v>Vítor Pirolli</x:v>
      </x:c>
      <x:c r="E5" s="106" t="str">
        <x:v>Pré-venda + pós-venda</x:v>
      </x:c>
      <x:c r="F5" s="106" t="str">
        <x:v>12h projeto + recorrente</x:v>
      </x:c>
      <x:c r="G5" s="106" t="str">
        <x:v>Negociação, relacionamento com Matheus, alinhamento de expectativas, expansão da conta</x:v>
      </x:c>
      <x:c r="H5" s="106" t="str">
        <x:v>Proposta aprovada, histórico comercial, ponte com cliente</x:v>
      </x:c>
      <x:c r="I5" s="106" t="str">
        <x:v>Cliente entende escopo, valores e próximos passos</x:v>
      </x:c>
      <x:c r="J5" s="106" t="str">
        <x:v>Contrato fecha mal ou cliente desalinha expectativa</x:v>
      </x:c>
      <x:c r="K5" s="106" t="str">
        <x:v>CS/Treinamento</x:v>
      </x:c>
    </x:row>
    <x:row r="6">
      <x:c r="A6" s="106" t="str">
        <x:v>Gestão/PM</x:v>
      </x:c>
      <x:c r="B6" s="106" t="str">
        <x:v>Gestão</x:v>
      </x:c>
      <x:c r="C6" s="106" t="str">
        <x:v>Essencial</x:v>
      </x:c>
      <x:c r="D6" s="106" t="str">
        <x:v>A definir / PV acompanha</x:v>
      </x:c>
      <x:c r="E6" s="106" t="str">
        <x:v>Todo o projeto</x:v>
      </x:c>
      <x:c r="F6" s="106" t="str">
        <x:v>24h projeto</x:v>
      </x:c>
      <x:c r="G6" s="106" t="str">
        <x:v>Cronograma, sprints, status semanal, riscos, dependências e cobrança de decisões</x:v>
      </x:c>
      <x:c r="H6" s="106" t="str">
        <x:v>Plano de sprints, status report, gestão de riscos</x:v>
      </x:c>
      <x:c r="I6" s="106" t="str">
        <x:v>Marcos cumpridos e riscos visíveis</x:v>
      </x:c>
      <x:c r="J6" s="106" t="str">
        <x:v>Prazo escapa, escopo cresce e time perde foco</x:v>
      </x:c>
      <x:c r="K6" s="106" t="str">
        <x:v>Produto/PO</x:v>
      </x:c>
    </x:row>
    <x:row r="7">
      <x:c r="A7" s="106" t="str">
        <x:v>Produto/PO / Analista Logístico</x:v>
      </x:c>
      <x:c r="B7" s="106" t="str">
        <x:v>Produto</x:v>
      </x:c>
      <x:c r="C7" s="106" t="str">
        <x:v>Essencial</x:v>
      </x:c>
      <x:c r="D7" s="106" t="str">
        <x:v>PV + Matheus como sponsor</x:v>
      </x:c>
      <x:c r="E7" s="106" t="str">
        <x:v>Discovery + aceite</x:v>
      </x:c>
      <x:c r="F7" s="106" t="str">
        <x:v>12h projeto</x:v>
      </x:c>
      <x:c r="G7" s="106" t="str">
        <x:v>Traduzir operação da Rotta em regras, fluxos, dados obrigatórios, KPIs e critérios de aceite</x:v>
      </x:c>
      <x:c r="H7" s="106" t="str">
        <x:v>Backlog congelado, regras de negócio, DoD por módulo</x:v>
      </x:c>
      <x:c r="I7" s="106" t="str">
        <x:v>Dev sabe exatamente o que construir</x:v>
      </x:c>
      <x:c r="J7" s="106" t="str">
        <x:v>Sistema tecnicamente correto, mas errado para a operação</x:v>
      </x:c>
      <x:c r="K7" s="106" t="str">
        <x:v>Gestão/PM</x:v>
      </x:c>
    </x:row>
    <x:row r="8">
      <x:c r="A8" s="106" t="str">
        <x:v>UX/UI</x:v>
      </x:c>
      <x:c r="B8" s="106" t="str">
        <x:v>Produto</x:v>
      </x:c>
      <x:c r="C8" s="106" t="str">
        <x:v>Recomendado</x:v>
      </x:c>
      <x:c r="D8" s="106" t="str">
        <x:v>A definir</x:v>
      </x:c>
      <x:c r="E8" s="106" t="str">
        <x:v>Discovery + sprints</x:v>
      </x:c>
      <x:c r="F8" s="106" t="str">
        <x:v>12h projeto</x:v>
      </x:c>
      <x:c r="G8" s="106" t="str">
        <x:v>Desenhar telas simples para motorista, gerência e cliente, com foco mobile-first</x:v>
      </x:c>
      <x:c r="H8" s="106" t="str">
        <x:v>Fluxos, wireframes e componentes críticos</x:v>
      </x:c>
      <x:c r="I8" s="106" t="str">
        <x:v>Motorista conclui ação sem treinamento pesado</x:v>
      </x:c>
      <x:c r="J8" s="106" t="str">
        <x:v>Baixa adoção e retrabalho de interface</x:v>
      </x:c>
      <x:c r="K8" s="106" t="str">
        <x:v>Frontend</x:v>
      </x:c>
    </x:row>
    <x:row r="9">
      <x:c r="A9" s="106" t="str">
        <x:v>Dev Frontend/Produto</x:v>
      </x:c>
      <x:c r="B9" s="106" t="str">
        <x:v>Desenvolvimento</x:v>
      </x:c>
      <x:c r="C9" s="106" t="str">
        <x:v>Essencial</x:v>
      </x:c>
      <x:c r="D9" s="106" t="str">
        <x:v>Vítor/Luis ou dev alocado</x:v>
      </x:c>
      <x:c r="E9" s="106" t="str">
        <x:v>Sprints</x:v>
      </x:c>
      <x:c r="F9" s="106" t="str">
        <x:v>45h projeto</x:v>
      </x:c>
      <x:c r="G9" s="106" t="str">
        <x:v>Next.js, PWA, telas, filtros, dashboards, portal cliente e experiência do motorista</x:v>
      </x:c>
      <x:c r="H9" s="106" t="str">
        <x:v>Interfaces prontas em staging/produção</x:v>
      </x:c>
      <x:c r="I9" s="106" t="str">
        <x:v>Fluxos core funcionam em desktop e celular</x:v>
      </x:c>
      <x:c r="J9" s="106" t="str">
        <x:v>Produto fica sem usabilidade ou atrasado</x:v>
      </x:c>
      <x:c r="K9" s="106" t="str">
        <x:v>UX/UI, PWA/Offline</x:v>
      </x:c>
    </x:row>
    <x:row r="10">
      <x:c r="A10" s="106" t="str">
        <x:v>Dev Backend/Infra</x:v>
      </x:c>
      <x:c r="B10" s="106" t="str">
        <x:v>Desenvolvimento</x:v>
      </x:c>
      <x:c r="C10" s="106" t="str">
        <x:v>Essencial</x:v>
      </x:c>
      <x:c r="D10" s="106" t="str">
        <x:v>Luis Fernando Boff</x:v>
      </x:c>
      <x:c r="E10" s="106" t="str">
        <x:v>Sprints</x:v>
      </x:c>
      <x:c r="F10" s="106" t="str">
        <x:v>50h projeto</x:v>
      </x:c>
      <x:c r="G10" s="106" t="str">
        <x:v>Supabase, schema, RLS, Auth, APIs, storage, realtime, importação Excel e deploy</x:v>
      </x:c>
      <x:c r="H10" s="106" t="str">
        <x:v>Banco, APIs, segurança e integração funcionando</x:v>
      </x:c>
      <x:c r="I10" s="106" t="str">
        <x:v>Dados corretos e isolados por perfil/empresa</x:v>
      </x:c>
      <x:c r="J10" s="106" t="str">
        <x:v>Falhas de segurança, dados e sincronização</x:v>
      </x:c>
      <x:c r="K10" s="106" t="str">
        <x:v>DevOps/SRE</x:v>
      </x:c>
    </x:row>
    <x:row r="11">
      <x:c r="A11" s="106" t="str">
        <x:v>PWA/Offline</x:v>
      </x:c>
      <x:c r="B11" s="106" t="str">
        <x:v>Desenvolvimento</x:v>
      </x:c>
      <x:c r="C11" s="106" t="str">
        <x:v>Essencial</x:v>
      </x:c>
      <x:c r="D11" s="106" t="str">
        <x:v>Dev com foco offline</x:v>
      </x:c>
      <x:c r="E11" s="106" t="str">
        <x:v>Sprints críticos</x:v>
      </x:c>
      <x:c r="F11" s="106" t="str">
        <x:v>18h projeto</x:v>
      </x:c>
      <x:c r="G11" s="106" t="str">
        <x:v>Service Worker, IndexedDB, câmera, compressão de foto, fila offline e sincronização</x:v>
      </x:c>
      <x:c r="H11" s="106" t="str">
        <x:v>App registra canhoto sem sinal e sincroniza depois</x:v>
      </x:c>
      <x:c r="I11" s="106" t="str">
        <x:v>Teste modo avião aprovado</x:v>
      </x:c>
      <x:c r="J11" s="106" t="str">
        <x:v>Sistema falha justamente na Serra sem sinal</x:v>
      </x:c>
      <x:c r="K11" s="106" t="str">
        <x:v>Frontend</x:v>
      </x:c>
    </x:row>
    <x:row r="12">
      <x:c r="A12" s="106" t="str">
        <x:v>GIS/Maps</x:v>
      </x:c>
      <x:c r="B12" s="106" t="str">
        <x:v>Integração</x:v>
      </x:c>
      <x:c r="C12" s="106" t="str">
        <x:v>Essencial para B</x:v>
      </x:c>
      <x:c r="D12" s="106" t="str">
        <x:v>Dev integração</x:v>
      </x:c>
      <x:c r="E12" s="106" t="str">
        <x:v>Sprint B</x:v>
      </x:c>
      <x:c r="F12" s="106" t="str">
        <x:v>18h projeto</x:v>
      </x:c>
      <x:c r="G12" s="106" t="str">
        <x:v>Google Maps Directions, Distance Matrix, roteirização, custos de API e fallback</x:v>
      </x:c>
      <x:c r="H12" s="106" t="str">
        <x:v>Rota otimizada e distâncias estimadas</x:v>
      </x:c>
      <x:c r="I12" s="106" t="str">
        <x:v>10-20 endereços roteirizados e abrem no Maps</x:v>
      </x:c>
      <x:c r="J12" s="106" t="str">
        <x:v>Roteirização vira promessa não entregue</x:v>
      </x:c>
      <x:c r="K12" s="106" t="str">
        <x:v>Backend/Dados</x:v>
      </x:c>
    </x:row>
    <x:row r="13">
      <x:c r="A13" s="106" t="str">
        <x:v>Dados/BI</x:v>
      </x:c>
      <x:c r="B13" s="106" t="str">
        <x:v>Dados</x:v>
      </x:c>
      <x:c r="C13" s="106" t="str">
        <x:v>Essencial para B</x:v>
      </x:c>
      <x:c r="D13" s="106" t="str">
        <x:v>Dev dados/BI</x:v>
      </x:c>
      <x:c r="E13" s="106" t="str">
        <x:v>Sprint B</x:v>
      </x:c>
      <x:c r="F13" s="106" t="str">
        <x:v>20h projeto</x:v>
      </x:c>
      <x:c r="G13" s="106" t="str">
        <x:v>KPIs, rentabilidade, dashboards, relatórios, filtros e exportação Excel</x:v>
      </x:c>
      <x:c r="H13" s="106" t="str">
        <x:v>Dashboards e relatórios exportáveis</x:v>
      </x:c>
      <x:c r="I13" s="106" t="str">
        <x:v>Indicadores batem com base real</x:v>
      </x:c>
      <x:c r="J13" s="106" t="str">
        <x:v>Gerência não enxerga desempenho nem lucro</x:v>
      </x:c>
      <x:c r="K13" s="106" t="str">
        <x:v>Backend/GIS</x:v>
      </x:c>
    </x:row>
    <x:row r="14">
      <x:c r="A14" s="106" t="str">
        <x:v>DevOps/SRE</x:v>
      </x:c>
      <x:c r="B14" s="106" t="str">
        <x:v>Infra</x:v>
      </x:c>
      <x:c r="C14" s="106" t="str">
        <x:v>Recomendado</x:v>
      </x:c>
      <x:c r="D14" s="106" t="str">
        <x:v>Luis/PV</x:v>
      </x:c>
      <x:c r="E14" s="106" t="str">
        <x:v>Setup + go-live</x:v>
      </x:c>
      <x:c r="F14" s="106" t="str">
        <x:v>8h projeto + recorrente</x:v>
      </x:c>
      <x:c r="G14" s="106" t="str">
        <x:v>Vercel, Supabase, ambientes, variáveis, monitoramento, backup e custos API</x:v>
      </x:c>
      <x:c r="H14" s="106" t="str">
        <x:v>Produção, staging, logs e monitoramento</x:v>
      </x:c>
      <x:c r="I14" s="106" t="str">
        <x:v>Deploy reprodutível e falhas rastreáveis</x:v>
      </x:c>
      <x:c r="J14" s="106" t="str">
        <x:v>Sistema cai ou custo cresce sem controle</x:v>
      </x:c>
      <x:c r="K14" s="106" t="str">
        <x:v>Backend</x:v>
      </x:c>
    </x:row>
    <x:row r="15">
      <x:c r="A15" s="106" t="str">
        <x:v>Arquitetura/QA</x:v>
      </x:c>
      <x:c r="B15" s="106" t="str">
        <x:v>Qualidade</x:v>
      </x:c>
      <x:c r="C15" s="106" t="str">
        <x:v>Essencial</x:v>
      </x:c>
      <x:c r="D15" s="106" t="str">
        <x:v>PV + Luis</x:v>
      </x:c>
      <x:c r="E15" s="106" t="str">
        <x:v>Todo o projeto</x:v>
      </x:c>
      <x:c r="F15" s="106" t="str">
        <x:v>16h projeto</x:v>
      </x:c>
      <x:c r="G15" s="106" t="str">
        <x:v>Code review, arquitetura, testes E2E, testes mobile/offline, critérios de aceite e segurança</x:v>
      </x:c>
      <x:c r="H15" s="106" t="str">
        <x:v>Checklist DoD aprovado</x:v>
      </x:c>
      <x:c r="I15" s="106" t="str">
        <x:v>Módulos passam nos testes definidos</x:v>
      </x:c>
      <x:c r="J15" s="106" t="str">
        <x:v>Bugs críticos e retrabalho no go-live</x:v>
      </x:c>
      <x:c r="K15" s="106" t="str">
        <x:v>Segurança/LGPD</x:v>
      </x:c>
    </x:row>
    <x:row r="16">
      <x:c r="A16" s="106" t="str">
        <x:v>Segurança/LGPD</x:v>
      </x:c>
      <x:c r="B16" s="106" t="str">
        <x:v>Jurídico/Técnico</x:v>
      </x:c>
      <x:c r="C16" s="106" t="str">
        <x:v>Essencial</x:v>
      </x:c>
      <x:c r="D16" s="106" t="str">
        <x:v>PV/Jurídico</x:v>
      </x:c>
      <x:c r="E16" s="106" t="str">
        <x:v>Pré-go-live</x:v>
      </x:c>
      <x:c r="F16" s="106" t="str">
        <x:v>4h projeto</x:v>
      </x:c>
      <x:c r="G16" s="106" t="str">
        <x:v>Acesso mínimo, RLS, retenção, privacidade, dados pessoais e fotos de canhoto</x:v>
      </x:c>
      <x:c r="H16" s="106" t="str">
        <x:v>Regras de acesso, política de privacidade e retenção</x:v>
      </x:c>
      <x:c r="I16" s="106" t="str">
        <x:v>Cliente não acessa dados de outro cliente</x:v>
      </x:c>
      <x:c r="J16" s="106" t="str">
        <x:v>Risco jurídico e vazamento de dados</x:v>
      </x:c>
      <x:c r="K16" s="106" t="str">
        <x:v>Arquitetura/QA</x:v>
      </x:c>
    </x:row>
    <x:row r="17">
      <x:c r="A17" s="106" t="str">
        <x:v>Jurídico Contratual</x:v>
      </x:c>
      <x:c r="B17" s="106" t="str">
        <x:v>Jurídico</x:v>
      </x:c>
      <x:c r="C17" s="106" t="str">
        <x:v>Essencial</x:v>
      </x:c>
      <x:c r="D17" s="106" t="str">
        <x:v>Jurídico UzzAI</x:v>
      </x:c>
      <x:c r="E17" s="106" t="str">
        <x:v>Pré-contrato</x:v>
      </x:c>
      <x:c r="F17" s="106" t="str">
        <x:v>6h projeto</x:v>
      </x:c>
      <x:c r="G17" s="106" t="str">
        <x:v>Contrato, NDA, termos, SLA, IP/código-fonte, prazo mínimo, rescisão e multa</x:v>
      </x:c>
      <x:c r="H17" s="106" t="str">
        <x:v>Documentos assinados digitalmente</x:v>
      </x:c>
      <x:c r="I17" s="106" t="str">
        <x:v>Contrato protege UzzAI e cliente</x:v>
      </x:c>
      <x:c r="J17" s="106" t="str">
        <x:v>Recorrência sem trava, IP indefinido e conflito futuro</x:v>
      </x:c>
      <x:c r="K17" s="106" t="str">
        <x:v>Segurança/LGPD</x:v>
      </x:c>
    </x:row>
    <x:row r="18">
      <x:c r="A18" s="106" t="str">
        <x:v>CS/Treinamento</x:v>
      </x:c>
      <x:c r="B18" s="106" t="str">
        <x:v>Implantação</x:v>
      </x:c>
      <x:c r="C18" s="106" t="str">
        <x:v>Essencial</x:v>
      </x:c>
      <x:c r="D18" s="106" t="str">
        <x:v>Vítor/CS</x:v>
      </x:c>
      <x:c r="E18" s="106" t="str">
        <x:v>Go-live</x:v>
      </x:c>
      <x:c r="F18" s="106" t="str">
        <x:v>10h projeto + recorrente</x:v>
      </x:c>
      <x:c r="G18" s="106" t="str">
        <x:v>Treinar coordenadores, motoristas e clientes, criar guia de uso e ativar logins</x:v>
      </x:c>
      <x:c r="H18" s="106" t="str">
        <x:v>Guia de 1 página, sessão de treinamento e checklist de ativação</x:v>
      </x:c>
      <x:c r="I18" s="106" t="str">
        <x:v>16 motoristas e ~20 clientes conseguem usar</x:v>
      </x:c>
      <x:c r="J18" s="106" t="str">
        <x:v>Adoção baixa e suporte vira gargalo</x:v>
      </x:c>
      <x:c r="K18" s="106" t="str">
        <x:v>Comercial/Account</x:v>
      </x:c>
    </x:row>
    <x:row r="19">
      <x:c r="A19" s="106" t="str">
        <x:v>Suporte Técnico</x:v>
      </x:c>
      <x:c r="B19" s="106" t="str">
        <x:v>Operação</x:v>
      </x:c>
      <x:c r="C19" s="106" t="str">
        <x:v>Essencial recorrente</x:v>
      </x:c>
      <x:c r="D19" s="106" t="str">
        <x:v>UzzAI Empresa</x:v>
      </x:c>
      <x:c r="E19" s="106" t="str">
        <x:v>Pós-go-live</x:v>
      </x:c>
      <x:c r="F19" s="106" t="str">
        <x:v>Mensal</x:v>
      </x:c>
      <x:c r="G19" s="106" t="str">
        <x:v>Atender dúvidas, pequenos ajustes, bugs e monitorar uptime/custos</x:v>
      </x:c>
      <x:c r="H19" s="106" t="str">
        <x:v>Fila de suporte e rotina de manutenção</x:v>
      </x:c>
      <x:c r="I19" s="106" t="str">
        <x:v>Bugs resolvidos por criticidade acordada</x:v>
      </x:c>
      <x:c r="J19" s="106" t="str">
        <x:v>Cliente perde confiança no produto</x:v>
      </x:c>
      <x:c r="K19" s="106" t="str">
        <x:v>CS/DevOps</x:v>
      </x:c>
    </x:row>
    <x:row r="20">
      <x:c r="A20" s="106" t="str">
        <x:v>Financeiro/Controller</x:v>
      </x:c>
      <x:c r="B20" s="106" t="str">
        <x:v>Empresa</x:v>
      </x:c>
      <x:c r="C20" s="106" t="str">
        <x:v>Recomendado</x:v>
      </x:c>
      <x:c r="D20" s="106" t="str">
        <x:v>UzzAI/PV</x:v>
      </x:c>
      <x:c r="E20" s="106" t="str">
        <x:v>Pré-contrato + mensal</x:v>
      </x:c>
      <x:c r="F20" s="106" t="str">
        <x:v>3h projeto + mensal</x:v>
      </x:c>
      <x:c r="G20" s="106" t="str">
        <x:v>Validar impostos, margem, DRE, custo de API e inadimplência</x:v>
      </x:c>
      <x:c r="H20" s="106" t="str">
        <x:v>DRE do projeto e revisão mensal</x:v>
      </x:c>
      <x:c r="I20" s="106" t="str">
        <x:v>Margem e riscos financeiros conhecidos</x:v>
      </x:c>
      <x:c r="J20" s="106" t="str">
        <x:v>Contrato fecha com margem negativa</x:v>
      </x:c>
      <x:c r="K20" s="106" t="str">
        <x:v>UzzAI Empresa</x:v>
      </x:c>
    </x:row>
    <x:row r="21">
      <x:c r="A21" s="106" t="str">
        <x:v>Cliente/Sponsor</x:v>
      </x:c>
      <x:c r="B21" s="106" t="str">
        <x:v>Cliente</x:v>
      </x:c>
      <x:c r="C21" s="106" t="str">
        <x:v>Obrigatório do cliente</x:v>
      </x:c>
      <x:c r="D21" s="106" t="str">
        <x:v>Matheus Rotta</x:v>
      </x:c>
      <x:c r="E21" s="106" t="str">
        <x:v>Discovery + piloto</x:v>
      </x:c>
      <x:c r="F21" s="106" t="str">
        <x:v>Pontual</x:v>
      </x:c>
      <x:c r="G21" s="106" t="str">
        <x:v>Fornecer Excel reais, motoristas, empresas, custos e feedback rápido</x:v>
      </x:c>
      <x:c r="H21" s="106" t="str">
        <x:v>Dados reais, aprovação e piloto</x:v>
      </x:c>
      <x:c r="I21" s="106" t="str">
        <x:v>Feedback em até 24h no piloto</x:v>
      </x:c>
      <x:c r="J21" s="106" t="str">
        <x:v>Time trava sem dados/decisão</x:v>
      </x:c>
      <x:c r="K21" s="106" t="str">
        <x:v>Coordenador Rotta</x:v>
      </x:c>
    </x:row>
    <x:row r="22">
      <x:c r="A22" s="106" t="str">
        <x:v>Motoristas piloto</x:v>
      </x:c>
      <x:c r="B22" s="106" t="str">
        <x:v>Cliente/Usuários</x:v>
      </x:c>
      <x:c r="C22" s="106" t="str">
        <x:v>Obrigatório do cliente</x:v>
      </x:c>
      <x:c r="D22" s="106" t="str">
        <x:v>2-3 motoristas Rotta</x:v>
      </x:c>
      <x:c r="E22" s="106" t="str">
        <x:v>Piloto</x:v>
      </x:c>
      <x:c r="F22" s="106" t="str">
        <x:v>Pontual</x:v>
      </x:c>
      <x:c r="G22" s="106" t="str">
        <x:v>Validar uso real no celular, câmera, offline e status</x:v>
      </x:c>
      <x:c r="H22" s="106" t="str">
        <x:v>Feedback de campo</x:v>
      </x:c>
      <x:c r="I22" s="106" t="str">
        <x:v>Primeiras entregas reais registradas</x:v>
      </x:c>
      <x:c r="J22" s="106" t="str">
        <x:v>Produto não representa a operação real</x:v>
      </x:c>
      <x:c r="K22" s="106" t="str">
        <x:v>CS/Treinamento</x:v>
      </x:c>
    </x:row>
    <x:row r="23">
      <x:c r="A23" s="106" t="str">
        <x:v>Clientes finais piloto</x:v>
      </x:c>
      <x:c r="B23" s="106" t="str">
        <x:v>Cliente/Usuários</x:v>
      </x:c>
      <x:c r="C23" s="106" t="str">
        <x:v>Recomendado</x:v>
      </x:c>
      <x:c r="D23" s="106" t="str">
        <x:v>2-3 empresas cliente</x:v>
      </x:c>
      <x:c r="E23" s="106" t="str">
        <x:v>Piloto</x:v>
      </x:c>
      <x:c r="F23" s="106" t="str">
        <x:v>Pontual</x:v>
      </x:c>
      <x:c r="G23" s="106" t="str">
        <x:v>Validar portal, filtros, status e acesso ao canhoto</x:v>
      </x:c>
      <x:c r="H23" s="106" t="str">
        <x:v>Feedback do portal cliente</x:v>
      </x:c>
      <x:c r="I23" s="106" t="str">
        <x:v>Cliente enxerga apenas suas NFs</x:v>
      </x:c>
      <x:c r="J23" s="106" t="str">
        <x:v>Risco de portal pouco útil ou inseguro</x:v>
      </x:c>
      <x:c r="K23" s="106" t="str">
        <x:v>CS/Treinamento</x:v>
      </x:c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/>
      <x:c r="C26"/>
      <x:c r="D26"/>
      <x:c r="E26"/>
      <x:c r="F26"/>
      <x:c r="G26"/>
      <x:c r="H26"/>
      <x:c r="I26"/>
      <x:c r="J26"/>
      <x:c r="K26"/>
    </x:row>
    <x:row r="27">
      <x:c r="A27"/>
      <x:c r="B27"/>
      <x:c r="C27"/>
      <x:c r="D27"/>
      <x:c r="E27"/>
      <x:c r="F27"/>
      <x:c r="G27"/>
      <x:c r="H27"/>
      <x:c r="I27"/>
      <x:c r="J27"/>
      <x:c r="K27"/>
    </x:row>
    <x:row r="28">
      <x:c r="A28"/>
      <x:c r="B28"/>
      <x:c r="C28"/>
      <x:c r="D28"/>
      <x:c r="E28"/>
      <x:c r="F28"/>
      <x:c r="G28"/>
      <x:c r="H28"/>
      <x:c r="I28"/>
      <x:c r="J28"/>
      <x:c r="K28"/>
    </x:row>
    <x:row r="29">
      <x:c r="A29"/>
      <x:c r="B29"/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  <x:row r="46">
      <x:c r="A46"/>
      <x:c r="B46"/>
      <x:c r="C46"/>
      <x:c r="D46"/>
      <x:c r="E46"/>
      <x:c r="F46"/>
      <x:c r="G46"/>
      <x:c r="H46"/>
      <x:c r="I46"/>
      <x:c r="J46"/>
      <x:c r="K46"/>
    </x:row>
    <x:row r="47">
      <x:c r="A47"/>
      <x:c r="B47"/>
      <x:c r="C47"/>
      <x:c r="D47"/>
      <x:c r="E47"/>
      <x:c r="F47"/>
      <x:c r="G47"/>
      <x:c r="H47"/>
      <x:c r="I47"/>
      <x:c r="J47"/>
      <x:c r="K47"/>
    </x:row>
    <x:row r="48">
      <x:c r="A48"/>
      <x:c r="B48"/>
      <x:c r="C48"/>
      <x:c r="D48"/>
      <x:c r="E48"/>
      <x:c r="F48"/>
      <x:c r="G48"/>
      <x:c r="H48"/>
      <x:c r="I48"/>
      <x:c r="J48"/>
      <x:c r="K48"/>
    </x:row>
    <x:row r="49">
      <x:c r="A49"/>
      <x:c r="B49"/>
      <x:c r="C49"/>
      <x:c r="D49"/>
      <x:c r="E49"/>
      <x:c r="F49"/>
      <x:c r="G49"/>
      <x:c r="H49"/>
      <x:c r="I49"/>
      <x:c r="J49"/>
      <x:c r="K49"/>
    </x:row>
    <x:row r="50">
      <x:c r="A50"/>
      <x:c r="B50"/>
      <x:c r="C50"/>
      <x:c r="D50"/>
      <x:c r="E50"/>
      <x:c r="F50"/>
      <x:c r="G50"/>
      <x:c r="H50"/>
      <x:c r="I50"/>
      <x:c r="J50"/>
      <x:c r="K50"/>
    </x:row>
    <x:row r="51">
      <x:c r="A51"/>
      <x:c r="B51"/>
      <x:c r="C51"/>
      <x:c r="D51"/>
      <x:c r="E51"/>
      <x:c r="F51"/>
      <x:c r="G51"/>
      <x:c r="H51"/>
      <x:c r="I51"/>
      <x:c r="J51"/>
      <x:c r="K51"/>
    </x:row>
    <x:row r="52">
      <x:c r="A52"/>
      <x:c r="B52"/>
      <x:c r="C52"/>
      <x:c r="D52"/>
      <x:c r="E52"/>
      <x:c r="F52"/>
      <x:c r="G52"/>
      <x:c r="H52"/>
      <x:c r="I52"/>
      <x:c r="J52"/>
      <x:c r="K52"/>
    </x:row>
    <x:row r="53">
      <x:c r="A53"/>
      <x:c r="B53"/>
      <x:c r="C53"/>
      <x:c r="D53"/>
      <x:c r="E53"/>
      <x:c r="F53"/>
      <x:c r="G53"/>
      <x:c r="H53"/>
      <x:c r="I53"/>
      <x:c r="J53"/>
      <x:c r="K53"/>
    </x:row>
    <x:row r="54">
      <x:c r="A54"/>
      <x:c r="B54"/>
      <x:c r="C54"/>
      <x:c r="D54"/>
      <x:c r="E54"/>
      <x:c r="F54"/>
      <x:c r="G54"/>
      <x:c r="H54"/>
      <x:c r="I54"/>
      <x:c r="J54"/>
      <x:c r="K54"/>
    </x:row>
    <x:row r="55">
      <x:c r="A55"/>
      <x:c r="B55"/>
      <x:c r="C55"/>
      <x:c r="D55"/>
      <x:c r="E55"/>
      <x:c r="F55"/>
      <x:c r="G55"/>
      <x:c r="H55"/>
      <x:c r="I55"/>
      <x:c r="J55"/>
      <x:c r="K55"/>
    </x:row>
    <x:row r="56">
      <x:c r="A56"/>
      <x:c r="B56"/>
      <x:c r="C56"/>
      <x:c r="D56"/>
      <x:c r="E56"/>
      <x:c r="F56"/>
      <x:c r="G56"/>
      <x:c r="H56"/>
      <x:c r="I56"/>
      <x:c r="J56"/>
      <x:c r="K56"/>
    </x:row>
    <x:row r="57">
      <x:c r="A57"/>
      <x:c r="B57"/>
      <x:c r="C57"/>
      <x:c r="D57"/>
      <x:c r="E57"/>
      <x:c r="F57"/>
      <x:c r="G57"/>
      <x:c r="H57"/>
      <x:c r="I57"/>
      <x:c r="J57"/>
      <x:c r="K57"/>
    </x:row>
    <x:row r="58">
      <x:c r="A58"/>
      <x:c r="B58"/>
      <x:c r="C58"/>
      <x:c r="D58"/>
      <x:c r="E58"/>
      <x:c r="F58"/>
      <x:c r="G58"/>
      <x:c r="H58"/>
      <x:c r="I58"/>
      <x:c r="J58"/>
      <x:c r="K58"/>
    </x:row>
    <x:row r="59">
      <x:c r="A59"/>
      <x:c r="B59"/>
      <x:c r="C59"/>
      <x:c r="D59"/>
      <x:c r="E59"/>
      <x:c r="F59"/>
      <x:c r="G59"/>
      <x:c r="H59"/>
      <x:c r="I59"/>
      <x:c r="J59"/>
      <x:c r="K59"/>
    </x:row>
    <x:row r="60">
      <x:c r="A60"/>
      <x:c r="B60"/>
      <x:c r="C60"/>
      <x:c r="D60"/>
      <x:c r="E60"/>
      <x:c r="F60"/>
      <x:c r="G60"/>
      <x:c r="H60"/>
      <x:c r="I60"/>
      <x:c r="J60"/>
      <x:c r="K60"/>
    </x:row>
    <x:row r="61">
      <x:c r="A61"/>
      <x:c r="B61"/>
      <x:c r="C61"/>
      <x:c r="D61"/>
      <x:c r="E61"/>
      <x:c r="F61"/>
      <x:c r="G61"/>
      <x:c r="H61"/>
      <x:c r="I61"/>
      <x:c r="J61"/>
      <x:c r="K61"/>
    </x:row>
    <x:row r="62">
      <x:c r="A62"/>
      <x:c r="B62"/>
      <x:c r="C62"/>
      <x:c r="D62"/>
      <x:c r="E62"/>
      <x:c r="F62"/>
      <x:c r="G62"/>
      <x:c r="H62"/>
      <x:c r="I62"/>
      <x:c r="J62"/>
      <x:c r="K62"/>
    </x:row>
    <x:row r="63">
      <x:c r="A63"/>
      <x:c r="B63"/>
      <x:c r="C63"/>
      <x:c r="D63"/>
      <x:c r="E63"/>
      <x:c r="F63"/>
      <x:c r="G63"/>
      <x:c r="H63"/>
      <x:c r="I63"/>
      <x:c r="J63"/>
      <x:c r="K63"/>
    </x:row>
    <x:row r="64">
      <x:c r="A64"/>
      <x:c r="B64"/>
      <x:c r="C64"/>
      <x:c r="D64"/>
      <x:c r="E64"/>
      <x:c r="F64"/>
      <x:c r="G64"/>
      <x:c r="H64"/>
      <x:c r="I64"/>
      <x:c r="J64"/>
      <x:c r="K64"/>
    </x:row>
    <x:row r="65">
      <x:c r="A65"/>
      <x:c r="B65"/>
      <x:c r="C65"/>
      <x:c r="D65"/>
      <x:c r="E65"/>
      <x:c r="F65"/>
      <x:c r="G65"/>
      <x:c r="H65"/>
      <x:c r="I65"/>
      <x:c r="J65"/>
      <x:c r="K65"/>
    </x:row>
    <x:row r="66">
      <x:c r="A66"/>
      <x:c r="B66"/>
      <x:c r="C66"/>
      <x:c r="D66"/>
      <x:c r="E66"/>
      <x:c r="F66"/>
      <x:c r="G66"/>
      <x:c r="H66"/>
      <x:c r="I66"/>
      <x:c r="J66"/>
      <x:c r="K66"/>
    </x:row>
    <x:row r="67">
      <x:c r="A67"/>
      <x:c r="B67"/>
      <x:c r="C67"/>
      <x:c r="D67"/>
      <x:c r="E67"/>
      <x:c r="F67"/>
      <x:c r="G67"/>
      <x:c r="H67"/>
      <x:c r="I67"/>
      <x:c r="J67"/>
      <x:c r="K67"/>
    </x:row>
    <x:row r="68">
      <x:c r="A68"/>
      <x:c r="B68"/>
      <x:c r="C68"/>
      <x:c r="D68"/>
      <x:c r="E68"/>
      <x:c r="F68"/>
      <x:c r="G68"/>
      <x:c r="H68"/>
      <x:c r="I68"/>
      <x:c r="J68"/>
      <x:c r="K68"/>
    </x:row>
    <x:row r="69">
      <x:c r="A69"/>
      <x:c r="B69"/>
      <x:c r="C69"/>
      <x:c r="D69"/>
      <x:c r="E69"/>
      <x:c r="F69"/>
      <x:c r="G69"/>
      <x:c r="H69"/>
      <x:c r="I69"/>
      <x:c r="J69"/>
      <x:c r="K69"/>
    </x:row>
    <x:row r="70">
      <x:c r="A70"/>
      <x:c r="B70"/>
      <x:c r="C70"/>
      <x:c r="D70"/>
      <x:c r="E70"/>
      <x:c r="F70"/>
      <x:c r="G70"/>
      <x:c r="H70"/>
      <x:c r="I70"/>
      <x:c r="J70"/>
      <x:c r="K70"/>
    </x:row>
    <x:row r="71">
      <x:c r="A71"/>
      <x:c r="B71"/>
      <x:c r="C71"/>
      <x:c r="D71"/>
      <x:c r="E71"/>
      <x:c r="F71"/>
      <x:c r="G71"/>
      <x:c r="H71"/>
      <x:c r="I71"/>
      <x:c r="J71"/>
      <x:c r="K71"/>
    </x:row>
    <x:row r="72">
      <x:c r="A72"/>
      <x:c r="B72"/>
      <x:c r="C72"/>
      <x:c r="D72"/>
      <x:c r="E72"/>
      <x:c r="F72"/>
      <x:c r="G72"/>
      <x:c r="H72"/>
      <x:c r="I72"/>
      <x:c r="J72"/>
      <x:c r="K72"/>
    </x:row>
    <x:row r="73">
      <x:c r="A73"/>
      <x:c r="B73"/>
      <x:c r="C73"/>
      <x:c r="D73"/>
      <x:c r="E73"/>
      <x:c r="F73"/>
      <x:c r="G73"/>
      <x:c r="H73"/>
      <x:c r="I73"/>
      <x:c r="J73"/>
      <x:c r="K73"/>
    </x:row>
    <x:row r="74">
      <x:c r="A74"/>
      <x:c r="B74"/>
      <x:c r="C74"/>
      <x:c r="D74"/>
      <x:c r="E74"/>
      <x:c r="F74"/>
      <x:c r="G74"/>
      <x:c r="H74"/>
      <x:c r="I74"/>
      <x:c r="J74"/>
      <x:c r="K74"/>
    </x:row>
    <x:row r="75">
      <x:c r="A75"/>
      <x:c r="B75"/>
      <x:c r="C75"/>
      <x:c r="D75"/>
      <x:c r="E75"/>
      <x:c r="F75"/>
      <x:c r="G75"/>
      <x:c r="H75"/>
      <x:c r="I75"/>
      <x:c r="J75"/>
      <x:c r="K75"/>
    </x:row>
    <x:row r="76">
      <x:c r="A76"/>
      <x:c r="B76"/>
      <x:c r="C76"/>
      <x:c r="D76"/>
      <x:c r="E76"/>
      <x:c r="F76"/>
      <x:c r="G76"/>
      <x:c r="H76"/>
      <x:c r="I76"/>
      <x:c r="J76"/>
      <x:c r="K76"/>
    </x:row>
    <x:row r="77">
      <x:c r="A77"/>
      <x:c r="B77"/>
      <x:c r="C77"/>
      <x:c r="D77"/>
      <x:c r="E77"/>
      <x:c r="F77"/>
      <x:c r="G77"/>
      <x:c r="H77"/>
      <x:c r="I77"/>
      <x:c r="J77"/>
      <x:c r="K77"/>
    </x:row>
    <x:row r="78">
      <x:c r="A78"/>
      <x:c r="B78"/>
      <x:c r="C78"/>
      <x:c r="D78"/>
      <x:c r="E78"/>
      <x:c r="F78"/>
      <x:c r="G78"/>
      <x:c r="H78"/>
      <x:c r="I78"/>
      <x:c r="J78"/>
      <x:c r="K78"/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21" t="str">
        <x:v>MATRIZ RACI — ALIANÇA LOG / PROPOSTA B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1"/>
    </x:row>
    <x:row r="2">
      <x:c r="A2" s="125" t="str">
        <x:v>R = executa | A = responsável final/aprova | C = consultado | I = informado. Use para evitar buracos entre produto, dev, jurídico e implantação.</x:v>
      </x:c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105" t="str">
        <x:v>Entregável</x:v>
      </x:c>
      <x:c r="B4" s="105" t="str">
        <x:v>Account</x:v>
      </x:c>
      <x:c r="C4" s="105" t="str">
        <x:v>PM</x:v>
      </x:c>
      <x:c r="D4" s="105" t="str">
        <x:v>Produto/PO</x:v>
      </x:c>
      <x:c r="E4" s="105" t="str">
        <x:v>UX/UI</x:v>
      </x:c>
      <x:c r="F4" s="105" t="str">
        <x:v>Frontend</x:v>
      </x:c>
      <x:c r="G4" s="105" t="str">
        <x:v>Backend</x:v>
      </x:c>
      <x:c r="H4" s="105" t="str">
        <x:v>PWA Offline</x:v>
      </x:c>
      <x:c r="I4" s="105" t="str">
        <x:v>GIS/Maps</x:v>
      </x:c>
      <x:c r="J4" s="105" t="str">
        <x:v>Dados/BI</x:v>
      </x:c>
      <x:c r="K4" s="105" t="str">
        <x:v>QA/Arq</x:v>
      </x:c>
      <x:c r="L4" s="105" t="str">
        <x:v>Jurídico/LGPD</x:v>
      </x:c>
      <x:c r="M4" s="105" t="str">
        <x:v>CS/Suporte</x:v>
      </x:c>
      <x:c r="N4" s="105" t="str">
        <x:v>Cliente</x:v>
      </x:c>
    </x:row>
    <x:row r="5">
      <x:c r="A5" s="134" t="str">
        <x:v>Contrato, NDA, SLA, IP e prazo mínimo</x:v>
      </x:c>
      <x:c r="B5" s="132" t="str">
        <x:v>C</x:v>
      </x:c>
      <x:c r="C5" s="132" t="str">
        <x:v>I</x:v>
      </x:c>
      <x:c r="D5" s="132" t="str">
        <x:v>I</x:v>
      </x:c>
      <x:c r="E5" s="132" t="str">
        <x:v>I</x:v>
      </x:c>
      <x:c r="F5" s="132" t="str">
        <x:v>I</x:v>
      </x:c>
      <x:c r="G5" s="132" t="str">
        <x:v>I</x:v>
      </x:c>
      <x:c r="H5" s="132" t="str">
        <x:v>I</x:v>
      </x:c>
      <x:c r="I5" s="132" t="str">
        <x:v>I</x:v>
      </x:c>
      <x:c r="J5" s="132" t="str">
        <x:v>I</x:v>
      </x:c>
      <x:c r="K5" s="132" t="str">
        <x:v>C</x:v>
      </x:c>
      <x:c r="L5" s="132" t="str">
        <x:v>A</x:v>
      </x:c>
      <x:c r="M5" s="132" t="str">
        <x:v>I</x:v>
      </x:c>
      <x:c r="N5" s="132" t="str">
        <x:v>C</x:v>
      </x:c>
    </x:row>
    <x:row r="6">
      <x:c r="A6" s="134" t="str">
        <x:v>Backlog e critérios de aceite</x:v>
      </x:c>
      <x:c r="B6" s="132" t="str">
        <x:v>C</x:v>
      </x:c>
      <x:c r="C6" s="132" t="str">
        <x:v>A</x:v>
      </x:c>
      <x:c r="D6" s="132" t="str">
        <x:v>R</x:v>
      </x:c>
      <x:c r="E6" s="132" t="str">
        <x:v>C</x:v>
      </x:c>
      <x:c r="F6" s="132" t="str">
        <x:v>C</x:v>
      </x:c>
      <x:c r="G6" s="132" t="str">
        <x:v>C</x:v>
      </x:c>
      <x:c r="H6" s="132" t="str">
        <x:v>C</x:v>
      </x:c>
      <x:c r="I6" s="132" t="str">
        <x:v>C</x:v>
      </x:c>
      <x:c r="J6" s="132" t="str">
        <x:v>C</x:v>
      </x:c>
      <x:c r="K6" s="132" t="str">
        <x:v>C</x:v>
      </x:c>
      <x:c r="L6" s="132" t="str">
        <x:v>C</x:v>
      </x:c>
      <x:c r="M6" s="132" t="str">
        <x:v>I</x:v>
      </x:c>
      <x:c r="N6" s="132" t="str">
        <x:v>C</x:v>
      </x:c>
    </x:row>
    <x:row r="7">
      <x:c r="A7" s="134" t="str">
        <x:v>Fluxos UX motorista/gerência/cliente</x:v>
      </x:c>
      <x:c r="B7" s="132" t="str">
        <x:v>I</x:v>
      </x:c>
      <x:c r="C7" s="132" t="str">
        <x:v>C</x:v>
      </x:c>
      <x:c r="D7" s="132" t="str">
        <x:v>A</x:v>
      </x:c>
      <x:c r="E7" s="132" t="str">
        <x:v>R</x:v>
      </x:c>
      <x:c r="F7" s="132" t="str">
        <x:v>C</x:v>
      </x:c>
      <x:c r="G7" s="132" t="str">
        <x:v>I</x:v>
      </x:c>
      <x:c r="H7" s="132" t="str">
        <x:v>C</x:v>
      </x:c>
      <x:c r="I7" s="132" t="str">
        <x:v>I</x:v>
      </x:c>
      <x:c r="J7" s="132" t="str">
        <x:v>I</x:v>
      </x:c>
      <x:c r="K7" s="132" t="str">
        <x:v>C</x:v>
      </x:c>
      <x:c r="L7" s="132" t="str">
        <x:v>I</x:v>
      </x:c>
      <x:c r="M7" s="132" t="str">
        <x:v>C</x:v>
      </x:c>
      <x:c r="N7" s="132" t="str">
        <x:v>C</x:v>
      </x:c>
    </x:row>
    <x:row r="8">
      <x:c r="A8" s="134" t="str">
        <x:v>Auth, roles, RLS e segurança de acesso</x:v>
      </x:c>
      <x:c r="B8" s="132" t="str">
        <x:v>I</x:v>
      </x:c>
      <x:c r="C8" s="132" t="str">
        <x:v>C</x:v>
      </x:c>
      <x:c r="D8" s="132" t="str">
        <x:v>C</x:v>
      </x:c>
      <x:c r="E8" s="132" t="str">
        <x:v>I</x:v>
      </x:c>
      <x:c r="F8" s="132" t="str">
        <x:v>C</x:v>
      </x:c>
      <x:c r="G8" s="132" t="str">
        <x:v>R</x:v>
      </x:c>
      <x:c r="H8" s="132" t="str">
        <x:v>I</x:v>
      </x:c>
      <x:c r="I8" s="132" t="str">
        <x:v>I</x:v>
      </x:c>
      <x:c r="J8" s="132" t="str">
        <x:v>I</x:v>
      </x:c>
      <x:c r="K8" s="132" t="str">
        <x:v>A</x:v>
      </x:c>
      <x:c r="L8" s="132" t="str">
        <x:v>C</x:v>
      </x:c>
      <x:c r="M8" s="132" t="str">
        <x:v>I</x:v>
      </x:c>
      <x:c r="N8" s="132" t="str">
        <x:v>I</x:v>
      </x:c>
    </x:row>
    <x:row r="9">
      <x:c r="A9" s="134" t="str">
        <x:v>Importação Excel e dados reais</x:v>
      </x:c>
      <x:c r="B9" s="132" t="str">
        <x:v>C</x:v>
      </x:c>
      <x:c r="C9" s="132" t="str">
        <x:v>C</x:v>
      </x:c>
      <x:c r="D9" s="132" t="str">
        <x:v>A</x:v>
      </x:c>
      <x:c r="E9" s="132" t="str">
        <x:v>I</x:v>
      </x:c>
      <x:c r="F9" s="132" t="str">
        <x:v>C</x:v>
      </x:c>
      <x:c r="G9" s="132" t="str">
        <x:v>R</x:v>
      </x:c>
      <x:c r="H9" s="132" t="str">
        <x:v>I</x:v>
      </x:c>
      <x:c r="I9" s="132" t="str">
        <x:v>I</x:v>
      </x:c>
      <x:c r="J9" s="132" t="str">
        <x:v>C</x:v>
      </x:c>
      <x:c r="K9" s="132" t="str">
        <x:v>C</x:v>
      </x:c>
      <x:c r="L9" s="132" t="str">
        <x:v>I</x:v>
      </x:c>
      <x:c r="M9" s="132" t="str">
        <x:v>I</x:v>
      </x:c>
      <x:c r="N9" s="132" t="str">
        <x:v>C</x:v>
      </x:c>
    </x:row>
    <x:row r="10">
      <x:c r="A10" s="134" t="str">
        <x:v>Motorista PWA, câmera e status</x:v>
      </x:c>
      <x:c r="B10" s="132" t="str">
        <x:v>I</x:v>
      </x:c>
      <x:c r="C10" s="132" t="str">
        <x:v>C</x:v>
      </x:c>
      <x:c r="D10" s="132" t="str">
        <x:v>C</x:v>
      </x:c>
      <x:c r="E10" s="132" t="str">
        <x:v>C</x:v>
      </x:c>
      <x:c r="F10" s="132" t="str">
        <x:v>R</x:v>
      </x:c>
      <x:c r="G10" s="132" t="str">
        <x:v>C</x:v>
      </x:c>
      <x:c r="H10" s="132" t="str">
        <x:v>A</x:v>
      </x:c>
      <x:c r="I10" s="132" t="str">
        <x:v>I</x:v>
      </x:c>
      <x:c r="J10" s="132" t="str">
        <x:v>I</x:v>
      </x:c>
      <x:c r="K10" s="132" t="str">
        <x:v>C</x:v>
      </x:c>
      <x:c r="L10" s="132" t="str">
        <x:v>I</x:v>
      </x:c>
      <x:c r="M10" s="132" t="str">
        <x:v>C</x:v>
      </x:c>
      <x:c r="N10" s="132" t="str">
        <x:v>C</x:v>
      </x:c>
    </x:row>
    <x:row r="11">
      <x:c r="A11" s="134" t="str">
        <x:v>Offline-first e sincronização</x:v>
      </x:c>
      <x:c r="B11" s="132" t="str">
        <x:v>I</x:v>
      </x:c>
      <x:c r="C11" s="132" t="str">
        <x:v>C</x:v>
      </x:c>
      <x:c r="D11" s="132" t="str">
        <x:v>C</x:v>
      </x:c>
      <x:c r="E11" s="132" t="str">
        <x:v>I</x:v>
      </x:c>
      <x:c r="F11" s="132" t="str">
        <x:v>C</x:v>
      </x:c>
      <x:c r="G11" s="132" t="str">
        <x:v>C</x:v>
      </x:c>
      <x:c r="H11" s="132" t="str">
        <x:v>R</x:v>
      </x:c>
      <x:c r="I11" s="132" t="str">
        <x:v>I</x:v>
      </x:c>
      <x:c r="J11" s="132" t="str">
        <x:v>I</x:v>
      </x:c>
      <x:c r="K11" s="132" t="str">
        <x:v>A</x:v>
      </x:c>
      <x:c r="L11" s="132" t="str">
        <x:v>I</x:v>
      </x:c>
      <x:c r="M11" s="132" t="str">
        <x:v>I</x:v>
      </x:c>
      <x:c r="N11" s="132" t="str">
        <x:v>C</x:v>
      </x:c>
    </x:row>
    <x:row r="12">
      <x:c r="A12" s="134" t="str">
        <x:v>Dashboard gerência realtime</x:v>
      </x:c>
      <x:c r="B12" s="132" t="str">
        <x:v>I</x:v>
      </x:c>
      <x:c r="C12" s="132" t="str">
        <x:v>C</x:v>
      </x:c>
      <x:c r="D12" s="132" t="str">
        <x:v>C</x:v>
      </x:c>
      <x:c r="E12" s="132" t="str">
        <x:v>C</x:v>
      </x:c>
      <x:c r="F12" s="132" t="str">
        <x:v>R</x:v>
      </x:c>
      <x:c r="G12" s="132" t="str">
        <x:v>R</x:v>
      </x:c>
      <x:c r="H12" s="132" t="str">
        <x:v>I</x:v>
      </x:c>
      <x:c r="I12" s="132" t="str">
        <x:v>I</x:v>
      </x:c>
      <x:c r="J12" s="132" t="str">
        <x:v>C</x:v>
      </x:c>
      <x:c r="K12" s="132" t="str">
        <x:v>A</x:v>
      </x:c>
      <x:c r="L12" s="132" t="str">
        <x:v>I</x:v>
      </x:c>
      <x:c r="M12" s="132" t="str">
        <x:v>I</x:v>
      </x:c>
      <x:c r="N12" s="132" t="str">
        <x:v>C</x:v>
      </x:c>
    </x:row>
    <x:row r="13">
      <x:c r="A13" s="134" t="str">
        <x:v>Portal cliente final e isolamento por empresa</x:v>
      </x:c>
      <x:c r="B13" s="132" t="str">
        <x:v>I</x:v>
      </x:c>
      <x:c r="C13" s="132" t="str">
        <x:v>C</x:v>
      </x:c>
      <x:c r="D13" s="132" t="str">
        <x:v>C</x:v>
      </x:c>
      <x:c r="E13" s="132" t="str">
        <x:v>C</x:v>
      </x:c>
      <x:c r="F13" s="132" t="str">
        <x:v>R</x:v>
      </x:c>
      <x:c r="G13" s="132" t="str">
        <x:v>R</x:v>
      </x:c>
      <x:c r="H13" s="132" t="str">
        <x:v>I</x:v>
      </x:c>
      <x:c r="I13" s="132" t="str">
        <x:v>I</x:v>
      </x:c>
      <x:c r="J13" s="132" t="str">
        <x:v>I</x:v>
      </x:c>
      <x:c r="K13" s="132" t="str">
        <x:v>A</x:v>
      </x:c>
      <x:c r="L13" s="132" t="str">
        <x:v>C</x:v>
      </x:c>
      <x:c r="M13" s="132" t="str">
        <x:v>C</x:v>
      </x:c>
      <x:c r="N13" s="132" t="str">
        <x:v>C</x:v>
      </x:c>
    </x:row>
    <x:row r="14">
      <x:c r="A14" s="134" t="str">
        <x:v>Roteirização e abrir no Google Maps</x:v>
      </x:c>
      <x:c r="B14" s="132" t="str">
        <x:v>I</x:v>
      </x:c>
      <x:c r="C14" s="132" t="str">
        <x:v>C</x:v>
      </x:c>
      <x:c r="D14" s="132" t="str">
        <x:v>C</x:v>
      </x:c>
      <x:c r="E14" s="132" t="str">
        <x:v>C</x:v>
      </x:c>
      <x:c r="F14" s="132" t="str">
        <x:v>C</x:v>
      </x:c>
      <x:c r="G14" s="132" t="str">
        <x:v>C</x:v>
      </x:c>
      <x:c r="H14" s="132" t="str">
        <x:v>I</x:v>
      </x:c>
      <x:c r="I14" s="132" t="str">
        <x:v>R</x:v>
      </x:c>
      <x:c r="J14" s="132" t="str">
        <x:v>C</x:v>
      </x:c>
      <x:c r="K14" s="132" t="str">
        <x:v>A</x:v>
      </x:c>
      <x:c r="L14" s="132" t="str">
        <x:v>I</x:v>
      </x:c>
      <x:c r="M14" s="132" t="str">
        <x:v>I</x:v>
      </x:c>
      <x:c r="N14" s="132" t="str">
        <x:v>C</x:v>
      </x:c>
    </x:row>
    <x:row r="15">
      <x:c r="A15" s="134" t="str">
        <x:v>Rentabilidade e KPIs motoristas/clientes</x:v>
      </x:c>
      <x:c r="B15" s="132" t="str">
        <x:v>I</x:v>
      </x:c>
      <x:c r="C15" s="132" t="str">
        <x:v>C</x:v>
      </x:c>
      <x:c r="D15" s="132" t="str">
        <x:v>A</x:v>
      </x:c>
      <x:c r="E15" s="132" t="str">
        <x:v>I</x:v>
      </x:c>
      <x:c r="F15" s="132" t="str">
        <x:v>C</x:v>
      </x:c>
      <x:c r="G15" s="132" t="str">
        <x:v>C</x:v>
      </x:c>
      <x:c r="H15" s="132" t="str">
        <x:v>I</x:v>
      </x:c>
      <x:c r="I15" s="132" t="str">
        <x:v>C</x:v>
      </x:c>
      <x:c r="J15" s="132" t="str">
        <x:v>R</x:v>
      </x:c>
      <x:c r="K15" s="132" t="str">
        <x:v>C</x:v>
      </x:c>
      <x:c r="L15" s="132" t="str">
        <x:v>I</x:v>
      </x:c>
      <x:c r="M15" s="132" t="str">
        <x:v>I</x:v>
      </x:c>
      <x:c r="N15" s="132" t="str">
        <x:v>C</x:v>
      </x:c>
    </x:row>
    <x:row r="16">
      <x:c r="A16" s="134" t="str">
        <x:v>Exportação Excel/CSV e filtros avançados</x:v>
      </x:c>
      <x:c r="B16" s="132" t="str">
        <x:v>I</x:v>
      </x:c>
      <x:c r="C16" s="132" t="str">
        <x:v>C</x:v>
      </x:c>
      <x:c r="D16" s="132" t="str">
        <x:v>C</x:v>
      </x:c>
      <x:c r="E16" s="132" t="str">
        <x:v>I</x:v>
      </x:c>
      <x:c r="F16" s="132" t="str">
        <x:v>R</x:v>
      </x:c>
      <x:c r="G16" s="132" t="str">
        <x:v>C</x:v>
      </x:c>
      <x:c r="H16" s="132" t="str">
        <x:v>I</x:v>
      </x:c>
      <x:c r="I16" s="132" t="str">
        <x:v>I</x:v>
      </x:c>
      <x:c r="J16" s="132" t="str">
        <x:v>A</x:v>
      </x:c>
      <x:c r="K16" s="132" t="str">
        <x:v>C</x:v>
      </x:c>
      <x:c r="L16" s="132" t="str">
        <x:v>I</x:v>
      </x:c>
      <x:c r="M16" s="132" t="str">
        <x:v>I</x:v>
      </x:c>
      <x:c r="N16" s="132" t="str">
        <x:v>C</x:v>
      </x:c>
    </x:row>
    <x:row r="17">
      <x:c r="A17" s="134" t="str">
        <x:v>Deploy, monitoramento, backups e custos API</x:v>
      </x:c>
      <x:c r="B17" s="132" t="str">
        <x:v>I</x:v>
      </x:c>
      <x:c r="C17" s="132" t="str">
        <x:v>C</x:v>
      </x:c>
      <x:c r="D17" s="132" t="str">
        <x:v>I</x:v>
      </x:c>
      <x:c r="E17" s="132" t="str">
        <x:v>I</x:v>
      </x:c>
      <x:c r="F17" s="132" t="str">
        <x:v>I</x:v>
      </x:c>
      <x:c r="G17" s="132" t="str">
        <x:v>R</x:v>
      </x:c>
      <x:c r="H17" s="132" t="str">
        <x:v>I</x:v>
      </x:c>
      <x:c r="I17" s="132" t="str">
        <x:v>C</x:v>
      </x:c>
      <x:c r="J17" s="132" t="str">
        <x:v>I</x:v>
      </x:c>
      <x:c r="K17" s="132" t="str">
        <x:v>A</x:v>
      </x:c>
      <x:c r="L17" s="132" t="str">
        <x:v>I</x:v>
      </x:c>
      <x:c r="M17" s="132" t="str">
        <x:v>I</x:v>
      </x:c>
      <x:c r="N17" s="132" t="str">
        <x:v>I</x:v>
      </x:c>
    </x:row>
    <x:row r="18">
      <x:c r="A18" s="134" t="str">
        <x:v>Homologação e testes E2E</x:v>
      </x:c>
      <x:c r="B18" s="132" t="str">
        <x:v>I</x:v>
      </x:c>
      <x:c r="C18" s="132" t="str">
        <x:v>A</x:v>
      </x:c>
      <x:c r="D18" s="132" t="str">
        <x:v>C</x:v>
      </x:c>
      <x:c r="E18" s="132" t="str">
        <x:v>I</x:v>
      </x:c>
      <x:c r="F18" s="132" t="str">
        <x:v>C</x:v>
      </x:c>
      <x:c r="G18" s="132" t="str">
        <x:v>C</x:v>
      </x:c>
      <x:c r="H18" s="132" t="str">
        <x:v>C</x:v>
      </x:c>
      <x:c r="I18" s="132" t="str">
        <x:v>C</x:v>
      </x:c>
      <x:c r="J18" s="132" t="str">
        <x:v>C</x:v>
      </x:c>
      <x:c r="K18" s="132" t="str">
        <x:v>R</x:v>
      </x:c>
      <x:c r="L18" s="132" t="str">
        <x:v>C</x:v>
      </x:c>
      <x:c r="M18" s="132" t="str">
        <x:v>C</x:v>
      </x:c>
      <x:c r="N18" s="132" t="str">
        <x:v>C</x:v>
      </x:c>
    </x:row>
    <x:row r="19">
      <x:c r="A19" s="134" t="str">
        <x:v>Treinamento, go-live e ativação de logins</x:v>
      </x:c>
      <x:c r="B19" s="132" t="str">
        <x:v>C</x:v>
      </x:c>
      <x:c r="C19" s="132" t="str">
        <x:v>A</x:v>
      </x:c>
      <x:c r="D19" s="132" t="str">
        <x:v>C</x:v>
      </x:c>
      <x:c r="E19" s="132" t="str">
        <x:v>I</x:v>
      </x:c>
      <x:c r="F19" s="132" t="str">
        <x:v>I</x:v>
      </x:c>
      <x:c r="G19" s="132" t="str">
        <x:v>I</x:v>
      </x:c>
      <x:c r="H19" s="132" t="str">
        <x:v>I</x:v>
      </x:c>
      <x:c r="I19" s="132" t="str">
        <x:v>I</x:v>
      </x:c>
      <x:c r="J19" s="132" t="str">
        <x:v>I</x:v>
      </x:c>
      <x:c r="K19" s="132" t="str">
        <x:v>C</x:v>
      </x:c>
      <x:c r="L19" s="132" t="str">
        <x:v>I</x:v>
      </x:c>
      <x:c r="M19" s="132" t="str">
        <x:v>R</x:v>
      </x:c>
      <x:c r="N19" s="132" t="str">
        <x:v>C</x:v>
      </x:c>
    </x:row>
    <x:row r="20">
      <x:c r="A20" s="134" t="str">
        <x:v>Suporte recorrente e melhoria contínua</x:v>
      </x:c>
      <x:c r="B20" s="132" t="str">
        <x:v>C</x:v>
      </x:c>
      <x:c r="C20" s="132" t="str">
        <x:v>I</x:v>
      </x:c>
      <x:c r="D20" s="132" t="str">
        <x:v>C</x:v>
      </x:c>
      <x:c r="E20" s="132" t="str">
        <x:v>I</x:v>
      </x:c>
      <x:c r="F20" s="132" t="str">
        <x:v>C</x:v>
      </x:c>
      <x:c r="G20" s="132" t="str">
        <x:v>C</x:v>
      </x:c>
      <x:c r="H20" s="132" t="str">
        <x:v>I</x:v>
      </x:c>
      <x:c r="I20" s="132" t="str">
        <x:v>I</x:v>
      </x:c>
      <x:c r="J20" s="132" t="str">
        <x:v>I</x:v>
      </x:c>
      <x:c r="K20" s="132" t="str">
        <x:v>C</x:v>
      </x:c>
      <x:c r="L20" s="132" t="str">
        <x:v>I</x:v>
      </x:c>
      <x:c r="M20" s="132" t="str">
        <x:v>A</x:v>
      </x:c>
      <x:c r="N20" s="132" t="str">
        <x:v>I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</x:sheetData>
  <x:mergeCells>
    <x:mergeCell ref="A1:N1"/>
    <x:mergeCell ref="A2:N2"/>
  </x:mergeCells>
  <x:pageMargins left="0.7" right="0.7" top="0.75" bottom="0.75" header="0.3" footer="0.3"/>
</x:worksheet>
</file>