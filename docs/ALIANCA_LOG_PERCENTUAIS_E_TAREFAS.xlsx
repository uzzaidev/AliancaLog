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OneDrive\Desktop\UZZ. AI\Aliança Log\"/>
    </mc:Choice>
  </mc:AlternateContent>
  <xr:revisionPtr revIDLastSave="0" documentId="13_ncr:1_{092B4188-0326-4DEB-BE37-B411938B4882}" xr6:coauthVersionLast="36" xr6:coauthVersionMax="36" xr10:uidLastSave="{00000000-0000-0000-0000-000000000000}"/>
  <bookViews>
    <workbookView xWindow="0" yWindow="0" windowWidth="28800" windowHeight="12810" xr2:uid="{00000000-000D-0000-FFFF-FFFF00000000}"/>
  </bookViews>
  <sheets>
    <sheet name="Percentuais e Tarefas" sheetId="1" r:id="rId1"/>
  </sheets>
  <calcPr calcId="181029"/>
</workbook>
</file>

<file path=xl/calcChain.xml><?xml version="1.0" encoding="utf-8"?>
<calcChain xmlns="http://schemas.openxmlformats.org/spreadsheetml/2006/main">
  <c r="I17" i="1" l="1"/>
  <c r="H17" i="1"/>
  <c r="E17" i="1"/>
  <c r="C17" i="1"/>
  <c r="I16" i="1"/>
  <c r="G16" i="1"/>
  <c r="F16" i="1"/>
  <c r="D16" i="1"/>
  <c r="D17" i="1" s="1"/>
  <c r="I15" i="1"/>
  <c r="F15" i="1"/>
  <c r="D15" i="1"/>
  <c r="I14" i="1"/>
  <c r="F14" i="1"/>
  <c r="D14" i="1"/>
  <c r="I13" i="1"/>
  <c r="F13" i="1"/>
  <c r="D13" i="1"/>
  <c r="I12" i="1"/>
  <c r="F12" i="1"/>
  <c r="D12" i="1"/>
  <c r="B8" i="1"/>
  <c r="G13" i="1" s="1"/>
  <c r="J13" i="1" l="1"/>
  <c r="F17" i="1"/>
  <c r="J16" i="1"/>
  <c r="G12" i="1"/>
  <c r="G14" i="1"/>
  <c r="J14" i="1" s="1"/>
  <c r="G15" i="1"/>
  <c r="J15" i="1" s="1"/>
  <c r="G17" i="1" l="1"/>
  <c r="J12" i="1"/>
  <c r="J17" i="1" s="1"/>
</calcChain>
</file>

<file path=xl/sharedStrings.xml><?xml version="1.0" encoding="utf-8"?>
<sst xmlns="http://schemas.openxmlformats.org/spreadsheetml/2006/main" count="66" uniqueCount="65">
  <si>
    <t>ALIANÇA LOG — PERCENTUAIS E TAREFAS</t>
  </si>
  <si>
    <t>Cliente: Rotta Logística  ·  Proposta B — Opção 2 (Apenas Recorrência)  ·  Sinal R$ 4.500 + R$ 1.500/mês × 36 meses</t>
  </si>
  <si>
    <t>Premissas do contrato</t>
  </si>
  <si>
    <t>Setup (sinal)</t>
  </si>
  <si>
    <t>O que é o Pool líquido: é o LUCRO que sobra depois de tirar impostos e custos (mão de obra estimada + infra/suporte) da receita total. Setup e Recorrência são o dinheiro que o cliente paga; o Pool é o que sobra de lucro de verdade para repartir como bônus, além da fatia normal de Setup/Recorrência.
Pool = Receita total − Impostos − Custos diretos − Custos recorrentes = R$ 58.500 − R$ 3.510 − R$ 22.740 − R$ 14.400 = R$ 17.850</t>
  </si>
  <si>
    <t>Mensalidade</t>
  </si>
  <si>
    <t>Meses</t>
  </si>
  <si>
    <t>Recorrência total (36 meses)</t>
  </si>
  <si>
    <t>Pool líquido (margem)</t>
  </si>
  <si>
    <t>Pessoa</t>
  </si>
  <si>
    <t>Papel / Função</t>
  </si>
  <si>
    <t>% Setup</t>
  </si>
  <si>
    <t>R$ Setup</t>
  </si>
  <si>
    <t>% Recorrência</t>
  </si>
  <si>
    <t>R$ Recorrência /mês</t>
  </si>
  <si>
    <t>R$ Recorrência (36 meses)</t>
  </si>
  <si>
    <t>% Pool</t>
  </si>
  <si>
    <t>R$ Pool</t>
  </si>
  <si>
    <t>Total R$ (contrato)</t>
  </si>
  <si>
    <t>Principais tarefas / responsabilidades</t>
  </si>
  <si>
    <t>Vítor Pirolli</t>
  </si>
  <si>
    <t>Comercial/Account + Frontend/Produto/PO + Gestão/PM</t>
  </si>
  <si>
    <t>Negociação e relacionamento com Matheus; Next.js/PWA (telas motorista, gerência e cliente); backlog, regras de negócio e critérios de aceite; cronograma, sprints, status semanal e riscos como Product Owner do projeto</t>
  </si>
  <si>
    <t>Luis Fernando Boff</t>
  </si>
  <si>
    <t>Backend/Infra + PWA Offline + DevOps + Dados/BI + GIS/Maps</t>
  </si>
  <si>
    <t>Supabase (schema, RLS, Auth, APIs, Storage, Realtime); Service Worker/IndexedDB e sincronização offline; deploy, ambientes e monitoramento; roteirização (Google Maps), KPIs, rentabilidade, dashboards e exportações (Fase B)</t>
  </si>
  <si>
    <t>Pedro Vitor Pagliarin</t>
  </si>
  <si>
    <t>App Store / Google Play</t>
  </si>
  <si>
    <t>Publicação e manutenção do app nas lojas (Apple App Store / Google Play) — empacotamento, submissão, atualizações e conformidade com as políticas das lojas</t>
  </si>
  <si>
    <t>Vítor + Operação</t>
  </si>
  <si>
    <t>CS/Treinamento + Suporte Técnico</t>
  </si>
  <si>
    <t>Treinamento de coordenadores, motoristas e clientes; guia de uso; ativação de logins; suporte pós-go-live</t>
  </si>
  <si>
    <t>UzzAI Empresa</t>
  </si>
  <si>
    <t>Institucional (inclui jurídico, financeiro e reserva)</t>
  </si>
  <si>
    <t>Caixa, operação, marca, administração, risco institucional e equity do CEO (Pedro Vitor); contrato/NDA/LGPD e controle financeiro tratados como funções de meio da empresa, não do projeto; inclui reserva para evolução do produto, inadimplência e custos extras de API</t>
  </si>
  <si>
    <t>TOTAL</t>
  </si>
  <si>
    <t>Observações</t>
  </si>
  <si>
    <t>• Toshiba (Marketing) NÃO entra nesta tabela — não há entregável de marketing no escopo do Aliança Log. Remunerado pelo crescimento da UzzAI (novos clientes), fora deste contrato.</t>
  </si>
  <si>
    <t>• Jurídico (Lucas/Brandon) e Financeiro (Corcho) não têm mais linha própria — são funções de meio e passaram a ser remuneradas dentro da fatia "UzzAI Empresa", não por percentual deste projeto específico.</t>
  </si>
  <si>
    <t>• Igui não tem mais linha própria — a gestão/PM passou a ser feita pelo Vítor, como Product Owner do projeto.</t>
  </si>
  <si>
    <t>• Reserva/Produto (buffer) foi removida como linha própria; sua fatia foi somada à "UzzAI Empresa" por ser, na prática, reserva financeira institucional. Pode ser redistribuída de outra forma se preferirem.</t>
  </si>
  <si>
    <t>• Arquitetura/QA não está em uso no momento; Pedro Vitor passa a responder por App Store/Google Play, mantendo o mesmo percentual que tinha antes.</t>
  </si>
  <si>
    <t>• Luis passa a responder também por Dados/BI + GIS/Maps (Fase B), além de Backend/Infra e Offline.</t>
  </si>
  <si>
    <t>• Esta tabela cobre apenas a fatia de execução DESTE projeto. Equity/sócio da UzzAI como empresa é uma conversa separada, não definida aqui.</t>
  </si>
  <si>
    <t>• "R$ Recorrência /mês" é o valor que a pessoa recebe todo mês enquanto o contrato estiver ativo; "R$ Recorrência (36 meses)" é a soma desse valor ao longo do contrato inteiro.</t>
  </si>
  <si>
    <t>Glossário de Funções — o que cada papel faz, em termos simples</t>
  </si>
  <si>
    <t>Comercial/Account</t>
  </si>
  <si>
    <t>Cuida da venda, da negociação e do relacionamento com o cliente (Matheus/Rotta).</t>
  </si>
  <si>
    <t>Frontend/Produto/PO</t>
  </si>
  <si>
    <t>Cuida das telas do app (o que o usuário vê e usa) e decide o que precisa ser construído e em que ordem.</t>
  </si>
  <si>
    <t>Gestão/PM</t>
  </si>
  <si>
    <t>Organiza o cronograma, cobra prazos, resolve travas e mantém todo mundo alinhado — agora feito pelo Vítor como Product Owner.</t>
  </si>
  <si>
    <t>Backend/Infra</t>
  </si>
  <si>
    <t>Cuida da parte dos códigos do servidor: banco de dados, login, segurança de acesso e conexões entre as partes do sistema.</t>
  </si>
  <si>
    <t>PWA Offline</t>
  </si>
  <si>
    <t>Faz o app funcionar mesmo sem internet (modo avião) e sincronizar os dados sozinho quando o sinal volta.</t>
  </si>
  <si>
    <t>DevOps</t>
  </si>
  <si>
    <t>Coloca o sistema no ar, mantém funcionando e fica de olho se algo cair ou ficar lento.</t>
  </si>
  <si>
    <t>Dados/BI + GIS/Maps</t>
  </si>
  <si>
    <t>Cuida dos mapas e rotas (Google Maps) e dos gráficos/relatórios que mostram o desempenho da operação — responsabilidade do Luis.</t>
  </si>
  <si>
    <t>Cuida de publicar e manter o app nas lojas (Apple e Google): empacotar, enviar pra revisão e atualizar quando preciso.</t>
  </si>
  <si>
    <t>CS/Treinamento + Suporte</t>
  </si>
  <si>
    <t>Ensina motoristas, gerência e clientes a usar o sistema, e resolve dúvidas depois que está no ar.</t>
  </si>
  <si>
    <t>UzzAI Empresa (Institucional)</t>
  </si>
  <si>
    <t>É a fatia que fica com a empresa em si: caixa, marca, administração, equity do CEO, mais jurídico, financeiro e a reserva — tratados como funções de apoio da empresa, não do projeto específico.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</si>
</sst>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$#,##0"/>
    <numFmt numFmtId="165" formatCode="0.0%"/>
    <numFmt numFmtId="166" formatCode="\R\$#,##0.00"/>
  </numFmts>
  <fonts count="16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0"/>
      <color rgb="FFE5E7EB"/>
      <name val="Calibri"/>
    </font>
    <font>
      <b/>
      <sz val="11"/>
      <color rgb="FF1F2937"/>
      <name val="Calibri"/>
    </font>
    <font>
      <sz val="10"/>
      <color rgb="FF374151"/>
      <name val="Calibri"/>
    </font>
    <font>
      <b/>
      <sz val="10"/>
      <color rgb="FF1D4ED8"/>
      <name val="Calibri"/>
    </font>
    <font>
      <b/>
      <sz val="10"/>
      <color rgb="FF000000"/>
      <name val="Calibri"/>
    </font>
    <font>
      <i/>
      <sz val="9"/>
      <color rgb="FF6B7280"/>
      <name val="Calibri"/>
    </font>
    <font>
      <b/>
      <sz val="10"/>
      <color rgb="FFFFFFFF"/>
      <name val="Calibri"/>
    </font>
    <font>
      <b/>
      <sz val="10"/>
      <color rgb="FF1F2937"/>
      <name val="Calibri"/>
    </font>
    <font>
      <sz val="10"/>
      <color rgb="FF1D4ED8"/>
      <name val="Calibri"/>
    </font>
    <font>
      <sz val="10"/>
      <color rgb="FF000000"/>
      <name val="Calibri"/>
    </font>
    <font>
      <b/>
      <sz val="10"/>
      <color rgb="FF166534"/>
      <name val="Calibri"/>
    </font>
    <font>
      <sz val="9"/>
      <color rgb="FF374151"/>
      <name val="Calibri"/>
    </font>
    <font>
      <b/>
      <sz val="12"/>
      <color rgb="FFFFFFFF"/>
      <name val="Calibri"/>
    </font>
    <font>
      <b/>
      <sz val="9"/>
      <color rgb="FF1F293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1D4ED8"/>
      </patternFill>
    </fill>
    <fill>
      <patternFill patternType="solid">
        <fgColor rgb="FFF3F4F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0" xfId="0" applyFont="1"/>
    <xf numFmtId="164" fontId="5" fillId="0" borderId="0" xfId="0" applyNumberFormat="1" applyFont="1"/>
    <xf numFmtId="1" fontId="5" fillId="0" borderId="0" xfId="0" applyNumberFormat="1" applyFont="1"/>
    <xf numFmtId="164" fontId="6" fillId="0" borderId="0" xfId="0" applyNumberFormat="1" applyFont="1"/>
    <xf numFmtId="0" fontId="8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165" fontId="10" fillId="4" borderId="1" xfId="0" applyNumberFormat="1" applyFont="1" applyFill="1" applyBorder="1" applyAlignment="1">
      <alignment horizontal="center" vertical="center"/>
    </xf>
    <xf numFmtId="166" fontId="11" fillId="4" borderId="1" xfId="0" applyNumberFormat="1" applyFont="1" applyFill="1" applyBorder="1" applyAlignment="1">
      <alignment horizontal="right" vertical="center"/>
    </xf>
    <xf numFmtId="166" fontId="9" fillId="4" borderId="1" xfId="0" applyNumberFormat="1" applyFont="1" applyFill="1" applyBorder="1" applyAlignment="1">
      <alignment horizontal="right" vertical="center"/>
    </xf>
    <xf numFmtId="166" fontId="12" fillId="4" borderId="1" xfId="0" applyNumberFormat="1" applyFont="1" applyFill="1" applyBorder="1" applyAlignment="1">
      <alignment horizontal="right" vertical="center"/>
    </xf>
    <xf numFmtId="0" fontId="13" fillId="4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165" fontId="10" fillId="5" borderId="1" xfId="0" applyNumberFormat="1" applyFont="1" applyFill="1" applyBorder="1" applyAlignment="1">
      <alignment horizontal="center" vertical="center"/>
    </xf>
    <xf numFmtId="166" fontId="11" fillId="5" borderId="1" xfId="0" applyNumberFormat="1" applyFont="1" applyFill="1" applyBorder="1" applyAlignment="1">
      <alignment horizontal="right" vertical="center"/>
    </xf>
    <xf numFmtId="166" fontId="9" fillId="5" borderId="1" xfId="0" applyNumberFormat="1" applyFont="1" applyFill="1" applyBorder="1" applyAlignment="1">
      <alignment horizontal="right" vertical="center"/>
    </xf>
    <xf numFmtId="166" fontId="12" fillId="5" borderId="1" xfId="0" applyNumberFormat="1" applyFont="1" applyFill="1" applyBorder="1" applyAlignment="1">
      <alignment horizontal="right" vertical="center"/>
    </xf>
    <xf numFmtId="0" fontId="13" fillId="5" borderId="1" xfId="0" applyFont="1" applyFill="1" applyBorder="1" applyAlignment="1">
      <alignment vertical="center" wrapText="1"/>
    </xf>
    <xf numFmtId="0" fontId="8" fillId="2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166" fontId="8" fillId="2" borderId="1" xfId="0" applyNumberFormat="1" applyFont="1" applyFill="1" applyBorder="1" applyAlignment="1">
      <alignment horizontal="right" vertical="center"/>
    </xf>
    <xf numFmtId="0" fontId="15" fillId="0" borderId="2" xfId="0" applyFont="1" applyBorder="1" applyAlignment="1">
      <alignment horizontal="left" vertical="center" wrapText="1"/>
    </xf>
    <xf numFmtId="0" fontId="0" fillId="0" borderId="0" xfId="0"/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13" fillId="0" borderId="2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8" fillId="2" borderId="1" xfId="0" applyFont="1" applyFill="1" applyBorder="1"/>
    <xf numFmtId="0" fontId="3" fillId="0" borderId="0" xfId="0" applyFont="1"/>
    <xf numFmtId="0" fontId="14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3">
    <dxf>
      <fill>
        <patternFill patternType="solid">
          <fgColor rgb="FFFCA5A5"/>
        </patternFill>
      </fill>
    </dxf>
    <dxf>
      <fill>
        <patternFill patternType="solid">
          <fgColor rgb="FFFCA5A5"/>
        </patternFill>
      </fill>
    </dxf>
    <dxf>
      <fill>
        <patternFill patternType="solid">
          <fgColor rgb="FFFCA5A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showGridLines="0" tabSelected="1" workbookViewId="0">
      <pane ySplit="11" topLeftCell="A12" activePane="bottomLeft" state="frozen"/>
      <selection pane="bottomLeft" activeCell="B9" sqref="B9"/>
    </sheetView>
  </sheetViews>
  <sheetFormatPr defaultRowHeight="15" x14ac:dyDescent="0.25"/>
  <cols>
    <col min="1" max="1" width="20" customWidth="1"/>
    <col min="2" max="2" width="30" customWidth="1"/>
    <col min="3" max="3" width="10" customWidth="1"/>
    <col min="4" max="6" width="12" customWidth="1"/>
    <col min="7" max="7" width="14" customWidth="1"/>
    <col min="8" max="8" width="10" customWidth="1"/>
    <col min="9" max="9" width="12" customWidth="1"/>
    <col min="10" max="10" width="14" customWidth="1"/>
    <col min="11" max="11" width="50" customWidth="1"/>
  </cols>
  <sheetData>
    <row r="1" spans="1:11" ht="30" customHeight="1" x14ac:dyDescent="0.25">
      <c r="A1" s="28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18" customHeight="1" x14ac:dyDescent="0.25">
      <c r="A2" s="29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6" customHeight="1" x14ac:dyDescent="0.25"/>
    <row r="4" spans="1:11" x14ac:dyDescent="0.25">
      <c r="A4" s="31" t="s">
        <v>2</v>
      </c>
      <c r="B4" s="24"/>
    </row>
    <row r="5" spans="1:11" x14ac:dyDescent="0.25">
      <c r="A5" s="1" t="s">
        <v>3</v>
      </c>
      <c r="B5" s="2">
        <v>4500</v>
      </c>
      <c r="C5" s="25" t="s">
        <v>4</v>
      </c>
      <c r="D5" s="24"/>
      <c r="E5" s="24"/>
      <c r="F5" s="24"/>
      <c r="G5" s="24"/>
      <c r="H5" s="24"/>
      <c r="I5" s="24"/>
      <c r="J5" s="24"/>
      <c r="K5" s="24"/>
    </row>
    <row r="6" spans="1:11" x14ac:dyDescent="0.25">
      <c r="A6" s="1" t="s">
        <v>5</v>
      </c>
      <c r="B6" s="2">
        <v>1400</v>
      </c>
      <c r="C6" s="24"/>
      <c r="D6" s="24"/>
      <c r="E6" s="24"/>
      <c r="F6" s="24"/>
      <c r="G6" s="24"/>
      <c r="H6" s="24"/>
      <c r="I6" s="24"/>
      <c r="J6" s="24"/>
      <c r="K6" s="24"/>
    </row>
    <row r="7" spans="1:11" x14ac:dyDescent="0.25">
      <c r="A7" s="1" t="s">
        <v>6</v>
      </c>
      <c r="B7" s="3">
        <v>36</v>
      </c>
      <c r="C7" s="24"/>
      <c r="D7" s="24"/>
      <c r="E7" s="24"/>
      <c r="F7" s="24"/>
      <c r="G7" s="24"/>
      <c r="H7" s="24"/>
      <c r="I7" s="24"/>
      <c r="J7" s="24"/>
      <c r="K7" s="24"/>
    </row>
    <row r="8" spans="1:11" x14ac:dyDescent="0.25">
      <c r="A8" s="1" t="s">
        <v>7</v>
      </c>
      <c r="B8" s="4">
        <f>B6*B7</f>
        <v>50400</v>
      </c>
      <c r="C8" s="24"/>
      <c r="D8" s="24"/>
      <c r="E8" s="24"/>
      <c r="F8" s="24"/>
      <c r="G8" s="24"/>
      <c r="H8" s="24"/>
      <c r="I8" s="24"/>
      <c r="J8" s="24"/>
      <c r="K8" s="24"/>
    </row>
    <row r="9" spans="1:11" x14ac:dyDescent="0.25">
      <c r="A9" s="1" t="s">
        <v>8</v>
      </c>
      <c r="B9" s="2">
        <v>17850</v>
      </c>
      <c r="C9" s="24"/>
      <c r="D9" s="24"/>
      <c r="E9" s="24"/>
      <c r="F9" s="24"/>
      <c r="G9" s="24"/>
      <c r="H9" s="24"/>
      <c r="I9" s="24"/>
      <c r="J9" s="24"/>
      <c r="K9" s="24"/>
    </row>
    <row r="10" spans="1:11" ht="8.1" customHeight="1" x14ac:dyDescent="0.25"/>
    <row r="11" spans="1:11" ht="33.950000000000003" customHeight="1" x14ac:dyDescent="0.25">
      <c r="A11" s="5" t="s">
        <v>9</v>
      </c>
      <c r="B11" s="5" t="s">
        <v>10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15</v>
      </c>
      <c r="H11" s="5" t="s">
        <v>16</v>
      </c>
      <c r="I11" s="5" t="s">
        <v>17</v>
      </c>
      <c r="J11" s="5" t="s">
        <v>18</v>
      </c>
      <c r="K11" s="5" t="s">
        <v>19</v>
      </c>
    </row>
    <row r="12" spans="1:11" ht="45.95" customHeight="1" x14ac:dyDescent="0.25">
      <c r="A12" s="6" t="s">
        <v>20</v>
      </c>
      <c r="B12" s="7" t="s">
        <v>21</v>
      </c>
      <c r="C12" s="8">
        <v>0.33</v>
      </c>
      <c r="D12" s="9">
        <f>C12*$B$5</f>
        <v>1485</v>
      </c>
      <c r="E12" s="8">
        <v>0.17</v>
      </c>
      <c r="F12" s="10">
        <f>E12*$B$6</f>
        <v>238.00000000000003</v>
      </c>
      <c r="G12" s="9">
        <f>E12*$B$8</f>
        <v>8568</v>
      </c>
      <c r="H12" s="8">
        <v>0.27</v>
      </c>
      <c r="I12" s="9">
        <f>H12*$B$9</f>
        <v>4819.5</v>
      </c>
      <c r="J12" s="11">
        <f>D12+G12+I12</f>
        <v>14872.5</v>
      </c>
      <c r="K12" s="12" t="s">
        <v>22</v>
      </c>
    </row>
    <row r="13" spans="1:11" ht="45.95" customHeight="1" x14ac:dyDescent="0.25">
      <c r="A13" s="13" t="s">
        <v>23</v>
      </c>
      <c r="B13" s="14" t="s">
        <v>24</v>
      </c>
      <c r="C13" s="15">
        <v>0.25</v>
      </c>
      <c r="D13" s="16">
        <f>C13*$B$5</f>
        <v>1125</v>
      </c>
      <c r="E13" s="15">
        <v>0.15</v>
      </c>
      <c r="F13" s="17">
        <f>E13*$B$6</f>
        <v>210</v>
      </c>
      <c r="G13" s="16">
        <f>E13*$B$8</f>
        <v>7560</v>
      </c>
      <c r="H13" s="15">
        <v>0.21</v>
      </c>
      <c r="I13" s="16">
        <f>H13*$B$9</f>
        <v>3748.5</v>
      </c>
      <c r="J13" s="18">
        <f>D13+G13+I13</f>
        <v>12433.5</v>
      </c>
      <c r="K13" s="19" t="s">
        <v>25</v>
      </c>
    </row>
    <row r="14" spans="1:11" ht="45.95" customHeight="1" x14ac:dyDescent="0.25">
      <c r="A14" s="6" t="s">
        <v>26</v>
      </c>
      <c r="B14" s="7" t="s">
        <v>27</v>
      </c>
      <c r="C14" s="8">
        <v>0.08</v>
      </c>
      <c r="D14" s="9">
        <f>C14*$B$5</f>
        <v>360</v>
      </c>
      <c r="E14" s="8">
        <v>7.0000000000000007E-2</v>
      </c>
      <c r="F14" s="10">
        <f>E14*$B$6</f>
        <v>98.000000000000014</v>
      </c>
      <c r="G14" s="9">
        <f>E14*$B$8</f>
        <v>3528.0000000000005</v>
      </c>
      <c r="H14" s="8">
        <v>0.09</v>
      </c>
      <c r="I14" s="9">
        <f>H14*$B$9</f>
        <v>1606.5</v>
      </c>
      <c r="J14" s="11">
        <f>D14+G14+I14</f>
        <v>5494.5</v>
      </c>
      <c r="K14" s="12" t="s">
        <v>28</v>
      </c>
    </row>
    <row r="15" spans="1:11" ht="45.95" customHeight="1" x14ac:dyDescent="0.25">
      <c r="A15" s="13" t="s">
        <v>29</v>
      </c>
      <c r="B15" s="14" t="s">
        <v>30</v>
      </c>
      <c r="C15" s="15">
        <v>0.04</v>
      </c>
      <c r="D15" s="16">
        <f>C15*$B$5</f>
        <v>180</v>
      </c>
      <c r="E15" s="15">
        <v>0.13</v>
      </c>
      <c r="F15" s="17">
        <f>E15*$B$6</f>
        <v>182</v>
      </c>
      <c r="G15" s="16">
        <f>E15*$B$8</f>
        <v>6552</v>
      </c>
      <c r="H15" s="15">
        <v>0.05</v>
      </c>
      <c r="I15" s="16">
        <f>H15*$B$9</f>
        <v>892.5</v>
      </c>
      <c r="J15" s="18">
        <f>D15+G15+I15</f>
        <v>7624.5</v>
      </c>
      <c r="K15" s="19" t="s">
        <v>31</v>
      </c>
    </row>
    <row r="16" spans="1:11" ht="45.95" customHeight="1" x14ac:dyDescent="0.25">
      <c r="A16" s="6" t="s">
        <v>32</v>
      </c>
      <c r="B16" s="7" t="s">
        <v>33</v>
      </c>
      <c r="C16" s="8">
        <v>0.3</v>
      </c>
      <c r="D16" s="9">
        <f>C16*$B$5</f>
        <v>1350</v>
      </c>
      <c r="E16" s="8">
        <v>0.48</v>
      </c>
      <c r="F16" s="10">
        <f>E16*$B$6</f>
        <v>672</v>
      </c>
      <c r="G16" s="9">
        <f>E16*$B$8</f>
        <v>24192</v>
      </c>
      <c r="H16" s="8">
        <v>0.38</v>
      </c>
      <c r="I16" s="9">
        <f>H16*$B$9</f>
        <v>6783</v>
      </c>
      <c r="J16" s="11">
        <f>D16+G16+I16</f>
        <v>32325</v>
      </c>
      <c r="K16" s="12" t="s">
        <v>34</v>
      </c>
    </row>
    <row r="17" spans="1:11" ht="21.95" customHeight="1" x14ac:dyDescent="0.25">
      <c r="A17" s="30" t="s">
        <v>35</v>
      </c>
      <c r="B17" s="30"/>
      <c r="C17" s="21">
        <f t="shared" ref="C17:J17" si="0">SUM(C12:C16)</f>
        <v>1</v>
      </c>
      <c r="D17" s="22">
        <f t="shared" si="0"/>
        <v>4500</v>
      </c>
      <c r="E17" s="21">
        <f t="shared" si="0"/>
        <v>1</v>
      </c>
      <c r="F17" s="22">
        <f t="shared" si="0"/>
        <v>1400</v>
      </c>
      <c r="G17" s="22">
        <f t="shared" si="0"/>
        <v>50400</v>
      </c>
      <c r="H17" s="21">
        <f t="shared" si="0"/>
        <v>1</v>
      </c>
      <c r="I17" s="22">
        <f t="shared" si="0"/>
        <v>17850</v>
      </c>
      <c r="J17" s="22">
        <f t="shared" si="0"/>
        <v>72750</v>
      </c>
      <c r="K17" s="20"/>
    </row>
    <row r="19" spans="1:11" x14ac:dyDescent="0.25">
      <c r="A19" s="31" t="s">
        <v>36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spans="1:11" ht="27.95" customHeight="1" x14ac:dyDescent="0.25">
      <c r="A20" s="26" t="s">
        <v>37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</row>
    <row r="21" spans="1:11" ht="27.95" customHeight="1" x14ac:dyDescent="0.25">
      <c r="A21" s="26" t="s">
        <v>38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</row>
    <row r="22" spans="1:11" ht="27.95" customHeight="1" x14ac:dyDescent="0.25">
      <c r="A22" s="26" t="s">
        <v>39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</row>
    <row r="23" spans="1:11" ht="27.95" customHeight="1" x14ac:dyDescent="0.25">
      <c r="A23" s="26" t="s">
        <v>40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</row>
    <row r="24" spans="1:11" ht="27.95" customHeight="1" x14ac:dyDescent="0.25">
      <c r="A24" s="26" t="s">
        <v>41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</row>
    <row r="25" spans="1:11" ht="27.95" customHeight="1" x14ac:dyDescent="0.25">
      <c r="A25" s="26" t="s">
        <v>42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</row>
    <row r="26" spans="1:11" ht="27.95" customHeight="1" x14ac:dyDescent="0.25">
      <c r="A26" s="26" t="s">
        <v>43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</row>
    <row r="27" spans="1:11" ht="27.95" customHeight="1" x14ac:dyDescent="0.25">
      <c r="A27" s="26" t="s">
        <v>44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</row>
    <row r="29" spans="1:11" ht="21.95" customHeight="1" x14ac:dyDescent="0.25">
      <c r="A29" s="32" t="s">
        <v>45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</row>
    <row r="30" spans="1:11" ht="26.1" customHeight="1" x14ac:dyDescent="0.25">
      <c r="A30" s="23" t="s">
        <v>46</v>
      </c>
      <c r="B30" s="24"/>
      <c r="C30" s="27" t="s">
        <v>47</v>
      </c>
      <c r="D30" s="24"/>
      <c r="E30" s="24"/>
      <c r="F30" s="24"/>
      <c r="G30" s="24"/>
      <c r="H30" s="24"/>
      <c r="I30" s="24"/>
      <c r="J30" s="24"/>
      <c r="K30" s="24"/>
    </row>
    <row r="31" spans="1:11" ht="26.1" customHeight="1" x14ac:dyDescent="0.25">
      <c r="A31" s="23" t="s">
        <v>48</v>
      </c>
      <c r="B31" s="24"/>
      <c r="C31" s="27" t="s">
        <v>49</v>
      </c>
      <c r="D31" s="24"/>
      <c r="E31" s="24"/>
      <c r="F31" s="24"/>
      <c r="G31" s="24"/>
      <c r="H31" s="24"/>
      <c r="I31" s="24"/>
      <c r="J31" s="24"/>
      <c r="K31" s="24"/>
    </row>
    <row r="32" spans="1:11" ht="26.1" customHeight="1" x14ac:dyDescent="0.25">
      <c r="A32" s="23" t="s">
        <v>50</v>
      </c>
      <c r="B32" s="24"/>
      <c r="C32" s="27" t="s">
        <v>51</v>
      </c>
      <c r="D32" s="24"/>
      <c r="E32" s="24"/>
      <c r="F32" s="24"/>
      <c r="G32" s="24"/>
      <c r="H32" s="24"/>
      <c r="I32" s="24"/>
      <c r="J32" s="24"/>
      <c r="K32" s="24"/>
    </row>
    <row r="33" spans="1:11" ht="26.1" customHeight="1" x14ac:dyDescent="0.25">
      <c r="A33" s="23" t="s">
        <v>52</v>
      </c>
      <c r="B33" s="24"/>
      <c r="C33" s="27" t="s">
        <v>53</v>
      </c>
      <c r="D33" s="24"/>
      <c r="E33" s="24"/>
      <c r="F33" s="24"/>
      <c r="G33" s="24"/>
      <c r="H33" s="24"/>
      <c r="I33" s="24"/>
      <c r="J33" s="24"/>
      <c r="K33" s="24"/>
    </row>
    <row r="34" spans="1:11" ht="26.1" customHeight="1" x14ac:dyDescent="0.25">
      <c r="A34" s="23" t="s">
        <v>54</v>
      </c>
      <c r="B34" s="24"/>
      <c r="C34" s="27" t="s">
        <v>55</v>
      </c>
      <c r="D34" s="24"/>
      <c r="E34" s="24"/>
      <c r="F34" s="24"/>
      <c r="G34" s="24"/>
      <c r="H34" s="24"/>
      <c r="I34" s="24"/>
      <c r="J34" s="24"/>
      <c r="K34" s="24"/>
    </row>
    <row r="35" spans="1:11" ht="26.1" customHeight="1" x14ac:dyDescent="0.25">
      <c r="A35" s="23" t="s">
        <v>56</v>
      </c>
      <c r="B35" s="24"/>
      <c r="C35" s="27" t="s">
        <v>57</v>
      </c>
      <c r="D35" s="24"/>
      <c r="E35" s="24"/>
      <c r="F35" s="24"/>
      <c r="G35" s="24"/>
      <c r="H35" s="24"/>
      <c r="I35" s="24"/>
      <c r="J35" s="24"/>
      <c r="K35" s="24"/>
    </row>
    <row r="36" spans="1:11" ht="26.1" customHeight="1" x14ac:dyDescent="0.25">
      <c r="A36" s="23" t="s">
        <v>58</v>
      </c>
      <c r="B36" s="24"/>
      <c r="C36" s="27" t="s">
        <v>59</v>
      </c>
      <c r="D36" s="24"/>
      <c r="E36" s="24"/>
      <c r="F36" s="24"/>
      <c r="G36" s="24"/>
      <c r="H36" s="24"/>
      <c r="I36" s="24"/>
      <c r="J36" s="24"/>
      <c r="K36" s="24"/>
    </row>
    <row r="37" spans="1:11" ht="26.1" customHeight="1" x14ac:dyDescent="0.25">
      <c r="A37" s="23" t="s">
        <v>27</v>
      </c>
      <c r="B37" s="24"/>
      <c r="C37" s="27" t="s">
        <v>60</v>
      </c>
      <c r="D37" s="24"/>
      <c r="E37" s="24"/>
      <c r="F37" s="24"/>
      <c r="G37" s="24"/>
      <c r="H37" s="24"/>
      <c r="I37" s="24"/>
      <c r="J37" s="24"/>
      <c r="K37" s="24"/>
    </row>
    <row r="38" spans="1:11" ht="26.1" customHeight="1" x14ac:dyDescent="0.25">
      <c r="A38" s="23" t="s">
        <v>61</v>
      </c>
      <c r="B38" s="24"/>
      <c r="C38" s="27" t="s">
        <v>62</v>
      </c>
      <c r="D38" s="24"/>
      <c r="E38" s="24"/>
      <c r="F38" s="24"/>
      <c r="G38" s="24"/>
      <c r="H38" s="24"/>
      <c r="I38" s="24"/>
      <c r="J38" s="24"/>
      <c r="K38" s="24"/>
    </row>
    <row r="39" spans="1:11" ht="26.1" customHeight="1" x14ac:dyDescent="0.25">
      <c r="A39" s="23" t="s">
        <v>63</v>
      </c>
      <c r="B39" s="24"/>
      <c r="C39" s="27" t="s">
        <v>64</v>
      </c>
      <c r="D39" s="24"/>
      <c r="E39" s="24"/>
      <c r="F39" s="24"/>
      <c r="G39" s="24"/>
      <c r="H39" s="24"/>
      <c r="I39" s="24"/>
      <c r="J39" s="24"/>
      <c r="K39" s="24"/>
    </row>
  </sheetData>
  <mergeCells count="35">
    <mergeCell ref="A39:B39"/>
    <mergeCell ref="A34:B34"/>
    <mergeCell ref="A4:B4"/>
    <mergeCell ref="C30:K30"/>
    <mergeCell ref="A22:K22"/>
    <mergeCell ref="A38:B38"/>
    <mergeCell ref="C33:K33"/>
    <mergeCell ref="A20:K20"/>
    <mergeCell ref="A29:K29"/>
    <mergeCell ref="A19:K19"/>
    <mergeCell ref="C35:K35"/>
    <mergeCell ref="A31:B31"/>
    <mergeCell ref="A1:K1"/>
    <mergeCell ref="C36:K36"/>
    <mergeCell ref="A25:K25"/>
    <mergeCell ref="A37:B37"/>
    <mergeCell ref="C39:K39"/>
    <mergeCell ref="A27:K27"/>
    <mergeCell ref="C32:K32"/>
    <mergeCell ref="C38:K38"/>
    <mergeCell ref="A26:K26"/>
    <mergeCell ref="A21:K21"/>
    <mergeCell ref="C37:K37"/>
    <mergeCell ref="A33:B33"/>
    <mergeCell ref="A2:K2"/>
    <mergeCell ref="A32:B32"/>
    <mergeCell ref="A17:B17"/>
    <mergeCell ref="C34:K34"/>
    <mergeCell ref="A30:B30"/>
    <mergeCell ref="C5:K9"/>
    <mergeCell ref="A24:K24"/>
    <mergeCell ref="A36:B36"/>
    <mergeCell ref="C31:K31"/>
    <mergeCell ref="A23:K23"/>
    <mergeCell ref="A35:B35"/>
  </mergeCells>
  <conditionalFormatting sqref="C17">
    <cfRule type="cellIs" dxfId="2" priority="1" operator="notEqual">
      <formula>1</formula>
    </cfRule>
  </conditionalFormatting>
  <conditionalFormatting sqref="E17">
    <cfRule type="cellIs" dxfId="1" priority="2" operator="notEqual">
      <formula>1</formula>
    </cfRule>
  </conditionalFormatting>
  <conditionalFormatting sqref="H17">
    <cfRule type="cellIs" dxfId="0" priority="3" operator="notEqual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Percentuais e Tarefas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2026-06-30T18:21:37Z</dcterms:created>
  <dcterms:modified xsi:type="dcterms:W3CDTF">2026-06-30T18:34:54Z</dcterms:modified>
</cp:coreProperties>
</file>