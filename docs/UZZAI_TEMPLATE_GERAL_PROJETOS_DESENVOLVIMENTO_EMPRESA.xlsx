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08fe8f95bc4e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84e932e3551405e"/>
    <x:sheet xmlns:r="http://schemas.openxmlformats.org/officeDocument/2006/relationships" name="Projeto" sheetId="2" r:id="Rc83571ad25594af0"/>
    <x:sheet xmlns:r="http://schemas.openxmlformats.org/officeDocument/2006/relationships" name="Precificacao" sheetId="3" r:id="R16f395d66eb44db3"/>
    <x:sheet xmlns:r="http://schemas.openxmlformats.org/officeDocument/2006/relationships" name="Config" sheetId="4" r:id="R3b641563e8414f7a"/>
    <x:sheet xmlns:r="http://schemas.openxmlformats.org/officeDocument/2006/relationships" name="Custos" sheetId="5" r:id="R70eeeec4783c4942"/>
    <x:sheet xmlns:r="http://schemas.openxmlformats.org/officeDocument/2006/relationships" name="Percentuais" sheetId="6" r:id="R6ef7af94d2914d36"/>
    <x:sheet xmlns:r="http://schemas.openxmlformats.org/officeDocument/2006/relationships" name="Distribuicao" sheetId="7" r:id="Rd256eb07bc884dc5"/>
    <x:sheet xmlns:r="http://schemas.openxmlformats.org/officeDocument/2006/relationships" name="Escopo_Backlog" sheetId="8" r:id="R3d914d8dcb7f4232"/>
    <x:sheet xmlns:r="http://schemas.openxmlformats.org/officeDocument/2006/relationships" name="Cronograma" sheetId="9" r:id="R0ca57cb729fa44c1"/>
    <x:sheet xmlns:r="http://schemas.openxmlformats.org/officeDocument/2006/relationships" name="Riscos" sheetId="10" r:id="R119c346d26f44a98"/>
    <x:sheet xmlns:r="http://schemas.openxmlformats.org/officeDocument/2006/relationships" name="Contrato_SLA" sheetId="11" r:id="R6d27cbadaa20433d"/>
    <x:sheet xmlns:r="http://schemas.openxmlformats.org/officeDocument/2006/relationships" name="CRM_Implantacao" sheetId="12" r:id="R918b654e6e424722"/>
    <x:sheet xmlns:r="http://schemas.openxmlformats.org/officeDocument/2006/relationships" name="Listas" sheetId="13" r:id="R1a075beeb9324b4f"/>
    <x:sheet xmlns:r="http://schemas.openxmlformats.org/officeDocument/2006/relationships" name="Fontes" sheetId="14" r:id="Rcc4a976f30ee4f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%"/>
    <x:numFmt numFmtId="202" formatCode="R$ #,##0.00"/>
    <x:numFmt numFmtId="203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b/>
      <x:sz val="11"/>
      <x:color rgb="FF1E3A8A"/>
      <x:name val="Carlito"/>
    </x:font>
    <x:font>
      <x:b/>
      <x:sz val="11"/>
      <x:color rgb="FF14532D"/>
      <x:name val="Carlito"/>
    </x:font>
    <x:font>
      <x:b/>
      <x:sz val="11"/>
      <x:color rgb="FF92400E"/>
      <x:name val="Carlito"/>
    </x:font>
    <x:font>
      <x:b/>
      <x:sz val="11"/>
      <x:color rgb="FF7F1D1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334155"/>
      </x:patternFill>
    </x:fill>
    <x:fill>
      <x:patternFill patternType="solid">
        <x:fgColor rgb="FF1E40AF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2">
    <x:border/>
    <x:border/>
  </x:borders>
  <x:cellStyleXfs count="1">
    <x:xf numFmtId="0" fontId="0" fillId="0" borderId="0"/>
  </x:cellStyleXfs>
  <x:cellXfs count="1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3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left"/>
    </x:xf>
    <x:xf numFmtId="0" fontId="3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0" fillId="10" borderId="1" xfId="0" applyNumberFormat="1" applyFont="1" applyFill="1" applyBorder="1"/>
    <x:xf numFmtId="0" fontId="7" fillId="10" borderId="1" xfId="0" applyNumberFormat="1" applyFont="1" applyFill="1" applyBorder="1"/>
    <x:xf numFmtId="0" fontId="0" fillId="7" borderId="0" xfId="0" applyNumberFormat="1" applyFont="1" applyFill="1" applyBorder="1" applyAlignment="1">
      <x:alignment vertical="top"/>
    </x:xf>
    <x:xf numFmtId="0" fontId="0" fillId="7" borderId="1" xfId="0" applyNumberFormat="1" applyFont="1" applyFill="1" applyBorder="1" applyAlignment="1">
      <x:alignment vertical="top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left" vertical="center" wrapText="1"/>
    </x:xf>
    <x:xf numFmtId="0" fontId="4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left" vertical="center" wrapText="1"/>
    </x:xf>
    <x:xf numFmtId="0" fontId="4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6" fillId="9" borderId="1" xfId="0" applyNumberFormat="1" applyFont="1" applyFill="1" applyBorder="1" applyAlignment="1">
      <x:alignment wrapText="1"/>
    </x:xf>
    <x:xf numFmtId="0" fontId="7" fillId="1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1" fontId="3" fillId="2" borderId="0" xfId="0" applyNumberFormat="1" applyFont="1" applyFill="1" applyBorder="1"/>
    <x:xf numFmtId="201" fontId="3" fillId="2" borderId="1" xfId="0" applyNumberFormat="1" applyFont="1" applyFill="1" applyBorder="1"/>
    <x:xf numFmtId="202" fontId="3" fillId="2" borderId="0" xfId="0" applyNumberFormat="1" applyFont="1" applyFill="1" applyBorder="1"/>
    <x:xf numFmtId="202" fontId="3" fillId="2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201" fontId="3" fillId="2" borderId="0" xfId="0" applyNumberFormat="1" applyFont="1" applyFill="1" applyBorder="1" applyAlignment="1">
      <x:alignment wrapText="1"/>
    </x:xf>
    <x:xf numFmtId="202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1" fontId="3" fillId="2" borderId="1" xfId="0" applyNumberFormat="1" applyFont="1" applyFill="1" applyBorder="1" applyAlignment="1">
      <x:alignment wrapText="1"/>
    </x:xf>
    <x:xf numFmtId="202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384aafd1a747ed" /><Relationship Type="http://schemas.openxmlformats.org/officeDocument/2006/relationships/theme" Target="/xl/theme/theme1.xml" Id="R63be597bb3094aba" /><Relationship Type="http://schemas.openxmlformats.org/officeDocument/2006/relationships/sharedStrings" Target="/xl/sharedStrings.xml" Id="Rf22da4e98e0f4a64" /><Relationship Type="http://schemas.openxmlformats.org/officeDocument/2006/relationships/worksheet" Target="/xl/worksheets/sheet1.xml" Id="R884e932e3551405e" /><Relationship Type="http://schemas.openxmlformats.org/officeDocument/2006/relationships/worksheet" Target="/xl/worksheets/sheet2.xml" Id="Rc83571ad25594af0" /><Relationship Type="http://schemas.openxmlformats.org/officeDocument/2006/relationships/worksheet" Target="/xl/worksheets/sheet3.xml" Id="R16f395d66eb44db3" /><Relationship Type="http://schemas.openxmlformats.org/officeDocument/2006/relationships/worksheet" Target="/xl/worksheets/sheet4.xml" Id="R3b641563e8414f7a" /><Relationship Type="http://schemas.openxmlformats.org/officeDocument/2006/relationships/worksheet" Target="/xl/worksheets/sheet5.xml" Id="R70eeeec4783c4942" /><Relationship Type="http://schemas.openxmlformats.org/officeDocument/2006/relationships/worksheet" Target="/xl/worksheets/sheet6.xml" Id="R6ef7af94d2914d36" /><Relationship Type="http://schemas.openxmlformats.org/officeDocument/2006/relationships/worksheet" Target="/xl/worksheets/sheet7.xml" Id="Rd256eb07bc884dc5" /><Relationship Type="http://schemas.openxmlformats.org/officeDocument/2006/relationships/worksheet" Target="/xl/worksheets/sheet8.xml" Id="R3d914d8dcb7f4232" /><Relationship Type="http://schemas.openxmlformats.org/officeDocument/2006/relationships/worksheet" Target="/xl/worksheets/sheet9.xml" Id="R0ca57cb729fa44c1" /><Relationship Type="http://schemas.openxmlformats.org/officeDocument/2006/relationships/worksheet" Target="/xl/worksheets/sheet10.xml" Id="R119c346d26f44a98" /><Relationship Type="http://schemas.openxmlformats.org/officeDocument/2006/relationships/worksheet" Target="/xl/worksheets/sheet11.xml" Id="R6d27cbadaa20433d" /><Relationship Type="http://schemas.openxmlformats.org/officeDocument/2006/relationships/worksheet" Target="/xl/worksheets/sheet12.xml" Id="R918b654e6e424722" /><Relationship Type="http://schemas.openxmlformats.org/officeDocument/2006/relationships/worksheet" Target="/xl/worksheets/sheet13.xml" Id="R1a075beeb9324b4f" /><Relationship Type="http://schemas.openxmlformats.org/officeDocument/2006/relationships/worksheet" Target="/xl/worksheets/sheet14.xml" Id="Rcc4a976f30ee4f5a" /></Relationships>
</file>

<file path=xl/tables/table1.xml><?xml version="1.0" encoding="utf-8"?>
<x:table xmlns:x="http://schemas.openxmlformats.org/spreadsheetml/2006/main" id="1" name="tbl_precificacao" displayName="tbl_precificacao" ref="A4:N14" headerRowCount="1">
  <x:tableColumns count="14">
    <x:tableColumn id="1" name="Proposta"/>
    <x:tableColumn id="2" name="Modelo comercial"/>
    <x:tableColumn id="3" name="Setup base"/>
    <x:tableColumn id="4" name="Sinal"/>
    <x:tableColumn id="5" name="Entrega"/>
    <x:tableColumn id="6" name="Intermediário"/>
    <x:tableColumn id="7" name="Mensalidade"/>
    <x:tableColumn id="8" name="Meses"/>
    <x:tableColumn id="9" name="App/IP passa?"/>
    <x:tableColumn id="10" name="Total informado"/>
    <x:tableColumn id="11" name="Total calculado"/>
    <x:tableColumn id="12" name="Gap"/>
    <x:tableColumn id="13" name="Recomendação"/>
    <x:tableColumn id="14" name="Chave"/>
  </x:tableColumns>
  <x:tableStyleInfo name="TableStyleMedium2" showRowStripes="1"/>
</x:table>
</file>

<file path=xl/tables/table2.xml><?xml version="1.0" encoding="utf-8"?>
<x:table xmlns:x="http://schemas.openxmlformats.org/spreadsheetml/2006/main" id="2" name="tbl_custos" displayName="tbl_custos" ref="A4:I18" headerRowCount="1">
  <x:tableColumns count="9">
    <x:tableColumn id="1" name="Categoria"/>
    <x:tableColumn id="2" name="Proposta"/>
    <x:tableColumn id="3" name="Item"/>
    <x:tableColumn id="4" name="Responsável/Papel"/>
    <x:tableColumn id="5" name="Qtd/Horas"/>
    <x:tableColumn id="6" name="Unidade"/>
    <x:tableColumn id="7" name="Custo unitário"/>
    <x:tableColumn id="8" name="Custo total"/>
    <x:tableColumn id="9" name="Observação"/>
  </x:tableColumns>
  <x:tableStyleInfo name="TableStyleMedium2" showRowStripes="1"/>
</x:table>
</file>

<file path=xl/tables/table3.xml><?xml version="1.0" encoding="utf-8"?>
<x:table xmlns:x="http://schemas.openxmlformats.org/spreadsheetml/2006/main" id="3" name="tbl_percentuais" displayName="tbl_percentuais" ref="A4:J39" headerRowCount="1">
  <x:tableColumns count="10">
    <x:tableColumn id="1" name="Modelo comercial"/>
    <x:tableColumn id="2" name="Pessoa/Empresa"/>
    <x:tableColumn id="3" name="Papel"/>
    <x:tableColumn id="4" name="% Setup"/>
    <x:tableColumn id="5" name="Valor Setup"/>
    <x:tableColumn id="6" name="% Recorrência"/>
    <x:tableColumn id="7" name="Valor Recorrência"/>
    <x:tableColumn id="8" name="% Pool Líquido"/>
    <x:tableColumn id="9" name="Valor Pool"/>
    <x:tableColumn id="10" name="Observação"/>
  </x:tableColumns>
  <x:tableStyleInfo name="TableStyleMedium2" showRowStripes="1"/>
</x:table>
</file>

<file path=xl/tables/table4.xml><?xml version="1.0" encoding="utf-8"?>
<x:table xmlns:x="http://schemas.openxmlformats.org/spreadsheetml/2006/main" id="4" name="tbl_escopo" displayName="tbl_escopo" ref="A4:J14" headerRowCount="1">
  <x:tableColumns count="10">
    <x:tableColumn id="1" name="Módulo"/>
    <x:tableColumn id="2" name="Item"/>
    <x:tableColumn id="3" name="Fase/Proposta"/>
    <x:tableColumn id="4" name="Prioridade"/>
    <x:tableColumn id="5" name="Esforço"/>
    <x:tableColumn id="6" name="Responsável"/>
    <x:tableColumn id="7" name="Status"/>
    <x:tableColumn id="8" name="Critério de aceite"/>
    <x:tableColumn id="9" name="Risco"/>
    <x:tableColumn id="10" name="Observação"/>
  </x:tableColumns>
  <x:tableStyleInfo name="TableStyleMedium2" showRowStripes="1"/>
</x:table>
</file>

<file path=xl/tables/table5.xml><?xml version="1.0" encoding="utf-8"?>
<x:table xmlns:x="http://schemas.openxmlformats.org/spreadsheetml/2006/main" id="5" name="tbl_riscos" displayName="tbl_riscos" ref="A4:I12" headerRowCount="1">
  <x:tableColumns count="9">
    <x:tableColumn id="1" name="#"/>
    <x:tableColumn id="2" name="Risco"/>
    <x:tableColumn id="3" name="Categoria"/>
    <x:tableColumn id="4" name="Prob."/>
    <x:tableColumn id="5" name="Impacto"/>
    <x:tableColumn id="6" name="Severidade"/>
    <x:tableColumn id="7" name="Dono"/>
    <x:tableColumn id="8" name="Mitigação"/>
    <x:tableColumn id="9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15ae5c18bc048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283a685ee85040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77cc5dfe99b844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b13c5fd026c04bd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5.xml" Id="R7662668d437a4a5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2" hidden="0" customWidth="1"/>
    <x:col min="4" max="4" width="22" hidden="0" customWidth="1"/>
    <x:col min="5" max="5" width="18" hidden="0" customWidth="1"/>
    <x:col min="6" max="6" width="22" hidden="0" customWidth="1"/>
    <x:col min="7" max="7" width="18" hidden="0" customWidth="1"/>
    <x:col min="8" max="8" width="22" hidden="0" customWidth="1"/>
    <x:col min="9" max="9" width="18" hidden="0" customWidth="1"/>
    <x:col min="10" max="10" width="34" hidden="0" customWidth="1"/>
  </x:cols>
  <x:sheetData>
    <x:row r="1" ht="30" customHeight="1">
      <x:c r="A1" s="68" t="str">
        <x:v>UZZAI — TEMPLATE GERAL DE PROJETOS</x:v>
      </x:c>
      <x:c r="B1" s="68"/>
      <x:c r="C1" s="68"/>
      <x:c r="D1" s="68"/>
      <x:c r="E1" s="68"/>
      <x:c r="F1" s="68"/>
      <x:c r="G1" s="68"/>
      <x:c r="H1" s="68"/>
      <x:c r="I1" s="68"/>
      <x:c r="J1" s="68"/>
    </x:row>
    <x:row r="2" ht="24" customHeight="1">
      <x:c r="A2" s="69" t="str">
        <x:v>Desenvolvimento • Comercial • Empresa • Remuneração • Escopo • Riscos • Contrato</x:v>
      </x:c>
      <x:c r="B2" s="69"/>
      <x:c r="C2" s="69"/>
      <x:c r="D2" s="69"/>
      <x:c r="E2" s="69"/>
      <x:c r="F2" s="69"/>
      <x:c r="G2" s="69"/>
      <x:c r="H2" s="69"/>
      <x:c r="I2" s="69"/>
      <x:c r="J2" s="69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</x:row>
    <x:row r="4" ht="23" customHeight="1">
      <x:c r="A4" s="70" t="str">
        <x:v>1) Seleção do projeto e modelo</x:v>
      </x:c>
      <x:c r="B4" s="30"/>
      <x:c r="C4" s="30"/>
      <x:c r="D4" s="70" t="str">
        <x:v>2) Resumo financeiro</x:v>
      </x:c>
      <x:c r="E4" s="30"/>
      <x:c r="F4" s="70" t="str">
        <x:v>3) Margem e pool</x:v>
      </x:c>
      <x:c r="G4" s="30"/>
      <x:c r="H4" s="70" t="str">
        <x:v>4) Auditoria automática</x:v>
      </x:c>
      <x:c r="I4" s="30"/>
      <x:c r="J4" s="30"/>
    </x:row>
    <x:row r="5">
      <x:c r="A5" s="71" t="str">
        <x:v>Projeto</x:v>
      </x:c>
      <x:c r="B5" s="72" t="str">
        <x:f>Projeto!B5</x:f>
        <x:v>[NOME DO PROJETO]</x:v>
      </x:c>
      <x:c r="C5" s="30" t="str">
        <x:v>Puxado da aba Projeto</x:v>
      </x:c>
      <x:c r="D5" s="73" t="str">
        <x:v>Sinal</x:v>
      </x:c>
      <x:c r="E5" s="74" t="n">
        <x:f>SUMIFS(Precificacao!$D$5:$D$14,Precificacao!$A$5:$A$14,$B$7,Precificacao!$B$5:$B$14,$B$8)</x:f>
        <x:v>3000</x:v>
      </x:c>
      <x:c r="F5" s="75" t="str">
        <x:v>Receita total</x:v>
      </x:c>
      <x:c r="G5" s="74" t="n">
        <x:f>E11</x:f>
        <x:v>16800</x:v>
      </x:c>
      <x:c r="H5" s="76" t="str">
        <x:v>% Setup distribuído</x:v>
      </x:c>
      <x:c r="I5" s="77" t="n">
        <x:f>SUMIFS(Percentuais!$D$5:$D$39,Percentuais!$A$5:$A$39,$B$8)</x:f>
        <x:v>0.9999999999999999</x:v>
      </x:c>
      <x:c r="J5" s="30" t="str">
        <x:v>Meta: 100%</x:v>
      </x:c>
    </x:row>
    <x:row r="6">
      <x:c r="A6" s="71" t="str">
        <x:v>Cliente</x:v>
      </x:c>
      <x:c r="B6" s="72" t="str">
        <x:f>Projeto!B6</x:f>
        <x:v>[CLIENTE]</x:v>
      </x:c>
      <x:c r="C6" s="30" t="str">
        <x:v>Puxado da aba Projeto</x:v>
      </x:c>
      <x:c r="D6" s="73" t="str">
        <x:v>Entrega</x:v>
      </x:c>
      <x:c r="E6" s="74" t="n">
        <x:f>SUMIFS(Precificacao!$E$5:$E$14,Precificacao!$A$5:$A$14,$B$7,Precificacao!$B$5:$B$14,$B$8)</x:f>
        <x:v>3000</x:v>
      </x:c>
      <x:c r="F6" s="75" t="str">
        <x:v>Impostos</x:v>
      </x:c>
      <x:c r="G6" s="74" t="n">
        <x:f>G5*Config!$B$6</x:f>
        <x:v>1008</x:v>
      </x:c>
      <x:c r="H6" s="76" t="str">
        <x:v>% MRR distribuído</x:v>
      </x:c>
      <x:c r="I6" s="77" t="n">
        <x:f>SUMIFS(Percentuais!$F$5:$F$39,Percentuais!$A$5:$A$39,$B$8)</x:f>
        <x:v>1</x:v>
      </x:c>
      <x:c r="J6" s="30" t="str">
        <x:v>Meta: 100%</x:v>
      </x:c>
    </x:row>
    <x:row r="7">
      <x:c r="A7" s="71" t="str">
        <x:v>Proposta selecionada</x:v>
      </x:c>
      <x:c r="B7" s="72" t="str">
        <x:v>A - MVP Enxuto</x:v>
      </x:c>
      <x:c r="C7" s="30" t="str">
        <x:v>Dropdown editável</x:v>
      </x:c>
      <x:c r="D7" s="73" t="str">
        <x:v>Intermediário</x:v>
      </x:c>
      <x:c r="E7" s="74" t="n">
        <x:f>SUMIFS(Precificacao!$F$5:$F$14,Precificacao!$A$5:$A$14,$B$7,Precificacao!$B$5:$B$14,$B$8)</x:f>
        <x:v>0</x:v>
      </x:c>
      <x:c r="F7" s="75" t="str">
        <x:v>Custos diretos</x:v>
      </x:c>
      <x:c r="G7" s="74" t="n">
        <x:f>SUMIFS(Custos!$H$5:$H$18,Custos!$B$5:$B$18,$B$7)</x:f>
        <x:v>7830</x:v>
      </x:c>
      <x:c r="H7" s="76" t="str">
        <x:v>% Pool distribuído</x:v>
      </x:c>
      <x:c r="I7" s="77" t="n">
        <x:f>SUMIFS(Percentuais!$H$5:$H$39,Percentuais!$A$5:$A$39,$B$8)</x:f>
        <x:v>1</x:v>
      </x:c>
      <x:c r="J7" s="30" t="str">
        <x:v>Meta: 100%</x:v>
      </x:c>
    </x:row>
    <x:row r="8">
      <x:c r="A8" s="71" t="str">
        <x:v>Modelo comercial</x:v>
      </x:c>
      <x:c r="B8" s="72" t="str">
        <x:v>Opção 4 - Híbrida</x:v>
      </x:c>
      <x:c r="C8" s="30" t="str">
        <x:v>Dropdown editável</x:v>
      </x:c>
      <x:c r="D8" s="73" t="str">
        <x:v>Mensalidade</x:v>
      </x:c>
      <x:c r="E8" s="74" t="n">
        <x:f>SUMIFS(Precificacao!$G$5:$G$14,Precificacao!$A$5:$A$14,$B$7,Precificacao!$B$5:$B$14,$B$8)</x:f>
        <x:v>450</x:v>
      </x:c>
      <x:c r="F8" s="75" t="str">
        <x:v>Custos recorrentes</x:v>
      </x:c>
      <x:c r="G8" s="74" t="n">
        <x:f>E9*Config!$B$11</x:f>
        <x:v>7200</x:v>
      </x:c>
      <x:c r="H8" s="76" t="str">
        <x:v>Gap total informado</x:v>
      </x:c>
      <x:c r="I8" s="74" t="n">
        <x:f>SUMIFS(Precificacao!$L$5:$L$14,Precificacao!$A$5:$A$14,$B$7,Precificacao!$B$5:$B$14,$B$8)</x:f>
        <x:v>0</x:v>
      </x:c>
      <x:c r="J8" s="30" t="str">
        <x:v>Deve ser R$ 0</x:v>
      </x:c>
    </x:row>
    <x:row r="9">
      <x:c r="A9" s="71" t="str">
        <x:v>Horizonte análise (meses)</x:v>
      </x:c>
      <x:c r="B9" s="72" t="n">
        <x:f>Projeto!B17</x:f>
        <x:v>24</x:v>
      </x:c>
      <x:c r="C9" s="30" t="str">
        <x:v>Usado se o modelo tiver meses = 0</x:v>
      </x:c>
      <x:c r="D9" s="73" t="str">
        <x:v>Meses</x:v>
      </x:c>
      <x:c r="E9" s="78" t="n">
        <x:f>IF(SUMIFS(Precificacao!$H$5:$H$14,Precificacao!$A$5:$A$14,$B$7,Precificacao!$B$5:$B$14,$B$8)=0,$B$9,SUMIFS(Precificacao!$H$5:$H$14,Precificacao!$A$5:$A$14,$B$7,Precificacao!$B$5:$B$14,$B$8))</x:f>
        <x:v>24</x:v>
      </x:c>
      <x:c r="F9" s="75" t="str">
        <x:v>Pool líquido</x:v>
      </x:c>
      <x:c r="G9" s="74" t="n">
        <x:f>G5-G6-G7-G8</x:f>
        <x:v>762</x:v>
      </x:c>
      <x:c r="H9" s="76" t="str">
        <x:v>Status geral</x:v>
      </x:c>
      <x:c r="I9" s="30" t="str">
        <x:f>IF(OR(ABS(I5-1)&gt;0.001,ABS(I6-1)&gt;0.001,ABS(I7-1)&gt;0.001,ABS(I8)&gt;1),"⚠️ Revisar","✅ OK")</x:f>
        <x:v>✅ OK</x:v>
      </x:c>
      <x:c r="J9" s="30" t="str">
        <x:v>Revisar se aparecer alerta</x:v>
      </x:c>
    </x:row>
    <x:row r="10">
      <x:c r="A10" s="71" t="str">
        <x:v>Status</x:v>
      </x:c>
      <x:c r="B10" s="72" t="str">
        <x:f>Projeto!B8</x:f>
        <x:v>Proposta</x:v>
      </x:c>
      <x:c r="C10" s="30" t="str">
        <x:v>Puxado da aba Projeto</x:v>
      </x:c>
      <x:c r="D10" s="73" t="str">
        <x:v>Setup total</x:v>
      </x:c>
      <x:c r="E10" s="74" t="n">
        <x:f>SUM(E5:E7)</x:f>
        <x:v>6000</x:v>
      </x:c>
      <x:c r="F10" s="75" t="str">
        <x:v>Margem líquida</x:v>
      </x:c>
      <x:c r="G10" s="77" t="n">
        <x:f>IFERROR(G9/G5,0)</x:f>
        <x:v>0.04535714285714286</x:v>
      </x:c>
      <x:c r="H10" s="76" t="str">
        <x:v>Próxima ação</x:v>
      </x:c>
      <x:c r="I10" s="30" t="str">
        <x:v>Ajustar Projeto + Precificação + Percentuais</x:v>
      </x:c>
      <x:c r="J10" s="30" t="str">
        <x:v>Depois revisar contrato e cronograma</x:v>
      </x:c>
    </x:row>
    <x:row r="11">
      <x:c r="A11" s="30"/>
      <x:c r="B11" s="30"/>
      <x:c r="C11" s="30"/>
      <x:c r="D11" s="73" t="str">
        <x:v>Total contrato</x:v>
      </x:c>
      <x:c r="E11" s="74" t="n">
        <x:f>E10+E8*E9</x:f>
        <x:v>16800</x:v>
      </x:c>
      <x:c r="F11" s="75" t="str">
        <x:v>Alerta margem</x:v>
      </x:c>
      <x:c r="G11" s="30" t="str">
        <x:f>IF(G10&lt;Config!$B$8,"⚠️ Abaixo da meta","✅ OK")</x:f>
        <x:v>⚠️ Abaixo da meta</x:v>
      </x:c>
      <x:c r="H11" s="30"/>
      <x:c r="I11" s="30"/>
      <x:c r="J11" s="30"/>
    </x:row>
    <x:row r="12">
      <x:c r="A12" s="30"/>
      <x:c r="B12" s="30"/>
      <x:c r="C12" s="30"/>
      <x:c r="D12" s="73" t="str">
        <x:v>IP / App passa?</x:v>
      </x:c>
      <x:c r="E12" s="30" t="str">
        <x:f>IFERROR(INDEX(Precificacao!$I$5:$I$14,MATCH($B$7&amp;$B$8,Precificacao!$N$5:$N$14,0)),"Definir")</x:f>
        <x:v>A negociar</x:v>
      </x:c>
      <x:c r="F12" s="30"/>
      <x:c r="G12" s="30"/>
      <x:c r="H12" s="30"/>
      <x:c r="I12" s="30"/>
      <x:c r="J12" s="30"/>
    </x:row>
    <x:row r="13" ht="23" customHeight="1">
      <x:c r="A13" s="70" t="str">
        <x:v>5) Como usar</x:v>
      </x:c>
      <x:c r="B13" s="30"/>
      <x:c r="C13" s="30"/>
      <x:c r="D13" s="30"/>
      <x:c r="E13" s="30"/>
      <x:c r="F13" s="30"/>
      <x:c r="G13" s="30"/>
      <x:c r="H13" s="30"/>
      <x:c r="I13" s="30"/>
      <x:c r="J13" s="30"/>
    </x:row>
    <x:row r="14">
      <x:c r="A14" s="66" t="str">
        <x:v>1. Preencha a aba Projeto. 2. Ajuste a aba Precificacao. 3. Ajuste custos e percentuais. 4. Veja Dashboard e Distribuicao. 5. Use Escopo_Backlog, Cronograma, Riscos e Contrato_SLA para acompanhar execução e governança.</x:v>
      </x:c>
      <x:c r="B14" s="66"/>
      <x:c r="C14" s="66"/>
      <x:c r="D14" s="66"/>
      <x:c r="E14" s="66"/>
      <x:c r="F14" s="66"/>
      <x:c r="G14" s="66"/>
      <x:c r="H14" s="66"/>
      <x:c r="I14" s="66"/>
      <x:c r="J14" s="66"/>
    </x:row>
    <x:row r="15">
      <x:c r="A15" s="66"/>
      <x:c r="B15" s="66"/>
      <x:c r="C15" s="66"/>
      <x:c r="D15" s="66"/>
      <x:c r="E15" s="66"/>
      <x:c r="F15" s="66"/>
      <x:c r="G15" s="66"/>
      <x:c r="H15" s="66"/>
      <x:c r="I15" s="66"/>
      <x:c r="J15" s="66"/>
    </x:row>
  </x:sheetData>
  <x:mergeCells>
    <x:mergeCell ref="A1:J1"/>
    <x:mergeCell ref="A2:J2"/>
    <x:mergeCell ref="A4:C4"/>
    <x:mergeCell ref="D4:E4"/>
    <x:mergeCell ref="F4:G4"/>
    <x:mergeCell ref="H4:J4"/>
    <x:mergeCell ref="A13:J13"/>
  </x:mergeCells>
  <x:conditionalFormatting sqref="G11:G11">
    <x:cfRule type="expression" dxfId="1" priority="1">
      <x:formula>G11="⚠️ Abaixo da meta"</x:formula>
    </x:cfRule>
  </x:conditionalFormatting>
  <x:conditionalFormatting sqref="I9:I9">
    <x:cfRule type="expression" dxfId="2" priority="2">
      <x:formula>I9="⚠️ Revisar"</x:formula>
    </x:cfRule>
  </x:conditionalFormatting>
  <x:dataValidations count="2">
    <x:dataValidation type="list" sqref="B7">
      <x:formula1>Listas!$A$5:$A$8</x:formula1>
    </x:dataValidation>
    <x:dataValidation type="list" sqref="B8">
      <x:formula1>Listas!$B$5:$B$9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36" hidden="0" customWidth="1"/>
    <x:col min="4" max="4" width="48" hidden="0" customWidth="1"/>
  </x:cols>
  <x:sheetData>
    <x:row r="1" ht="30" customHeight="1">
      <x:c r="A1" s="68" t="str">
        <x:v>PROJETO — CADASTRO GERAL</x:v>
      </x:c>
      <x:c r="B1" s="68"/>
      <x:c r="C1" s="68"/>
      <x:c r="D1" s="68"/>
      <x:c r="E1" s="68"/>
      <x:c r="F1" s="68"/>
      <x:c r="G1" s="68"/>
      <x:c r="H1" s="68"/>
      <x:c r="I1" s="30"/>
      <x:c r="J1" s="30"/>
      <x:c r="K1" s="30"/>
    </x:row>
    <x:row r="2" ht="24" customHeight="1">
      <x:c r="A2" s="69" t="str">
        <x:v>Preencha uma vez; as demais abas usam estas premissas</x:v>
      </x:c>
      <x:c r="B2" s="69"/>
      <x:c r="C2" s="69"/>
      <x:c r="D2" s="69"/>
      <x:c r="E2" s="69"/>
      <x:c r="F2" s="69"/>
      <x:c r="G2" s="69"/>
      <x:c r="H2" s="69"/>
      <x:c r="I2" s="30"/>
      <x:c r="J2" s="30"/>
      <x:c r="K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 ht="26" customHeight="1">
      <x:c r="A4" s="26" t="str">
        <x:v>Campo</x:v>
      </x:c>
      <x:c r="B4" s="26" t="str">
        <x:v>Valor</x:v>
      </x:c>
      <x:c r="C4" s="26" t="str">
        <x:v>Como usar</x:v>
      </x:c>
      <x:c r="D4" s="26" t="str">
        <x:v>Observação</x:v>
      </x:c>
      <x:c r="E4" s="30"/>
      <x:c r="F4" s="30"/>
      <x:c r="G4" s="30"/>
      <x:c r="H4" s="30"/>
      <x:c r="I4" s="30"/>
      <x:c r="J4" s="30"/>
      <x:c r="K4" s="30"/>
    </x:row>
    <x:row r="5">
      <x:c r="A5" s="30" t="str">
        <x:v>Nome do projeto</x:v>
      </x:c>
      <x:c r="B5" s="30" t="str">
        <x:v>[NOME DO PROJETO]</x:v>
      </x:c>
      <x:c r="C5" s="30" t="str">
        <x:v>Nome comercial/interno</x:v>
      </x:c>
      <x:c r="D5" s="30" t="str">
        <x:v>Ex.: Aliança Log, UzzOPS, chatbot setorial</x:v>
      </x:c>
      <x:c r="E5" s="30"/>
      <x:c r="F5" s="30"/>
      <x:c r="G5" s="30"/>
      <x:c r="H5" s="30"/>
      <x:c r="I5" s="30"/>
      <x:c r="J5" s="30"/>
      <x:c r="K5" s="30"/>
    </x:row>
    <x:row r="6">
      <x:c r="A6" s="30" t="str">
        <x:v>Cliente</x:v>
      </x:c>
      <x:c r="B6" s="30" t="str">
        <x:v>[CLIENTE]</x:v>
      </x:c>
      <x:c r="C6" s="30" t="str">
        <x:v>Empresa/lead</x:v>
      </x:c>
      <x:c r="D6" s="30" t="str"/>
      <x:c r="E6" s="30"/>
      <x:c r="F6" s="30"/>
      <x:c r="G6" s="30"/>
      <x:c r="H6" s="30"/>
      <x:c r="I6" s="30"/>
      <x:c r="J6" s="30"/>
      <x:c r="K6" s="30"/>
    </x:row>
    <x:row r="7">
      <x:c r="A7" s="30" t="str">
        <x:v>Contato principal</x:v>
      </x:c>
      <x:c r="B7" s="30" t="str">
        <x:v>[NOME + CONTATO]</x:v>
      </x:c>
      <x:c r="C7" s="30" t="str">
        <x:v>Decisor ou sponsor</x:v>
      </x:c>
      <x:c r="D7" s="30" t="str"/>
      <x:c r="E7" s="30"/>
      <x:c r="F7" s="30"/>
      <x:c r="G7" s="30"/>
      <x:c r="H7" s="30"/>
      <x:c r="I7" s="30"/>
      <x:c r="J7" s="30"/>
      <x:c r="K7" s="30"/>
    </x:row>
    <x:row r="8">
      <x:c r="A8" s="30" t="str">
        <x:v>Status</x:v>
      </x:c>
      <x:c r="B8" s="96" t="str">
        <x:v>Proposta</x:v>
      </x:c>
      <x:c r="C8" s="30" t="str">
        <x:v>Dropdown</x:v>
      </x:c>
      <x:c r="D8" s="30" t="str">
        <x:v>Use a aba Listas para editar</x:v>
      </x:c>
      <x:c r="E8" s="30"/>
      <x:c r="F8" s="30"/>
      <x:c r="G8" s="30"/>
      <x:c r="H8" s="30"/>
      <x:c r="I8" s="30"/>
      <x:c r="J8" s="30"/>
      <x:c r="K8" s="30"/>
    </x:row>
    <x:row r="9">
      <x:c r="A9" s="30" t="str">
        <x:v>Responsável comercial/account</x:v>
      </x:c>
      <x:c r="B9" s="96" t="str">
        <x:v>[PESSOA]</x:v>
      </x:c>
      <x:c r="C9" s="30" t="str">
        <x:v>Quem vende/acompanha</x:v>
      </x:c>
      <x:c r="D9" s="30" t="str">
        <x:v>Pode receber % mesmo sem dev</x:v>
      </x:c>
      <x:c r="E9" s="30"/>
      <x:c r="F9" s="30"/>
      <x:c r="G9" s="30"/>
      <x:c r="H9" s="30"/>
      <x:c r="I9" s="30"/>
      <x:c r="J9" s="30"/>
      <x:c r="K9" s="30"/>
    </x:row>
    <x:row r="10">
      <x:c r="A10" s="30" t="str">
        <x:v>Responsável técnico</x:v>
      </x:c>
      <x:c r="B10" s="30" t="str">
        <x:v>[PESSOA]</x:v>
      </x:c>
      <x:c r="C10" s="30" t="str">
        <x:v>Quem responde pela execução</x:v>
      </x:c>
      <x:c r="D10" s="30" t="str"/>
      <x:c r="E10" s="30"/>
      <x:c r="F10" s="30"/>
      <x:c r="G10" s="30"/>
      <x:c r="H10" s="30"/>
      <x:c r="I10" s="30"/>
      <x:c r="J10" s="30"/>
      <x:c r="K10" s="30"/>
    </x:row>
    <x:row r="11">
      <x:c r="A11" s="30" t="str">
        <x:v>Data de início prevista</x:v>
      </x:c>
      <x:c r="B11" s="30" t="n">
        <x:v>46204</x:v>
      </x:c>
      <x:c r="C11" s="30" t="str">
        <x:v>Data planejada</x:v>
      </x:c>
      <x:c r="D11" s="30" t="str">
        <x:v>Editar conforme o projeto</x:v>
      </x:c>
      <x:c r="E11" s="30"/>
      <x:c r="F11" s="30"/>
      <x:c r="G11" s="30"/>
      <x:c r="H11" s="30"/>
      <x:c r="I11" s="30"/>
      <x:c r="J11" s="30"/>
      <x:c r="K11" s="30"/>
    </x:row>
    <x:row r="12">
      <x:c r="A12" s="30" t="str">
        <x:v>Data alvo de go-live</x:v>
      </x:c>
      <x:c r="B12" s="30" t="n">
        <x:v>46231</x:v>
      </x:c>
      <x:c r="C12" s="30" t="str">
        <x:v>Data planejada</x:v>
      </x:c>
      <x:c r="D12" s="30" t="str"/>
      <x:c r="E12" s="30"/>
      <x:c r="F12" s="30"/>
      <x:c r="G12" s="30"/>
      <x:c r="H12" s="30"/>
      <x:c r="I12" s="30"/>
      <x:c r="J12" s="30"/>
      <x:c r="K12" s="30"/>
    </x:row>
    <x:row r="13">
      <x:c r="A13" s="30" t="str">
        <x:v>Dor principal</x:v>
      </x:c>
      <x:c r="B13" s="30" t="str">
        <x:v>[DOR DO CLIENTE]</x:v>
      </x:c>
      <x:c r="C13" s="30" t="str">
        <x:v>Problema central</x:v>
      </x:c>
      <x:c r="D13" s="30" t="str">
        <x:v>Deve aparecer na proposta comercial</x:v>
      </x:c>
      <x:c r="E13" s="30"/>
      <x:c r="F13" s="30"/>
      <x:c r="G13" s="30"/>
      <x:c r="H13" s="30"/>
      <x:c r="I13" s="30"/>
      <x:c r="J13" s="30"/>
      <x:c r="K13" s="30"/>
    </x:row>
    <x:row r="14">
      <x:c r="A14" s="30" t="str">
        <x:v>Objetivo do MVP</x:v>
      </x:c>
      <x:c r="B14" s="30" t="str">
        <x:v>[OBJETIVO MENSURÁVEL]</x:v>
      </x:c>
      <x:c r="C14" s="30" t="str">
        <x:v>Resultado esperado</x:v>
      </x:c>
      <x:c r="D14" s="30" t="str">
        <x:v>Ex.: reduzir retrabalho, automatizar atendimento</x:v>
      </x:c>
      <x:c r="E14" s="30"/>
      <x:c r="F14" s="30"/>
      <x:c r="G14" s="30"/>
      <x:c r="H14" s="30"/>
      <x:c r="I14" s="30"/>
      <x:c r="J14" s="30"/>
      <x:c r="K14" s="30"/>
    </x:row>
    <x:row r="15">
      <x:c r="A15" s="30" t="str">
        <x:v>Stack / tecnologia</x:v>
      </x:c>
      <x:c r="B15" s="30" t="str">
        <x:v>Next.js + Supabase + Vercel + IA quando aplicável</x:v>
      </x:c>
      <x:c r="C15" s="30" t="str">
        <x:v>Stack proposta</x:v>
      </x:c>
      <x:c r="D15" s="30" t="str">
        <x:v>Editar conforme projeto</x:v>
      </x:c>
      <x:c r="E15" s="30"/>
      <x:c r="F15" s="30"/>
      <x:c r="G15" s="30"/>
      <x:c r="H15" s="30"/>
      <x:c r="I15" s="30"/>
      <x:c r="J15" s="30"/>
      <x:c r="K15" s="30"/>
    </x:row>
    <x:row r="16">
      <x:c r="A16" s="30" t="str">
        <x:v>Tipo de projeto</x:v>
      </x:c>
      <x:c r="B16" s="30" t="str">
        <x:v>Desenvolvimento de Software</x:v>
      </x:c>
      <x:c r="C16" s="30" t="str">
        <x:v>Categoria</x:v>
      </x:c>
      <x:c r="D16" s="30" t="str">
        <x:v>SaaS, automação, BI, agente, integração</x:v>
      </x:c>
      <x:c r="E16" s="30"/>
      <x:c r="F16" s="30"/>
      <x:c r="G16" s="30"/>
      <x:c r="H16" s="30"/>
      <x:c r="I16" s="30"/>
      <x:c r="J16" s="30"/>
      <x:c r="K16" s="30"/>
    </x:row>
    <x:row r="17">
      <x:c r="A17" s="30" t="str">
        <x:v>Horizonte de análise padrão (meses)</x:v>
      </x:c>
      <x:c r="B17" s="30" t="n">
        <x:v>24</x:v>
      </x:c>
      <x:c r="C17" s="30" t="str">
        <x:v>Usado quando modelo não tem prazo mínimo</x:v>
      </x:c>
      <x:c r="D17" s="30" t="str">
        <x:v>Pode ser 12, 24, 36</x:v>
      </x:c>
      <x:c r="E17" s="30"/>
      <x:c r="F17" s="30"/>
      <x:c r="G17" s="30"/>
      <x:c r="H17" s="30"/>
      <x:c r="I17" s="30"/>
      <x:c r="J17" s="30"/>
      <x:c r="K17" s="30"/>
    </x:row>
    <x:row r="18">
      <x:c r="A18" s="30" t="str">
        <x:v>Observações executivas</x:v>
      </x:c>
      <x:c r="B18" s="30" t="str">
        <x:v>[NOTAS]</x:v>
      </x:c>
      <x:c r="C18" s="30" t="str">
        <x:v>Contexto estratégico</x:v>
      </x:c>
      <x:c r="D18" s="30" t="str"/>
      <x:c r="E18" s="30"/>
      <x:c r="F18" s="30"/>
      <x:c r="G18" s="30"/>
      <x:c r="H18" s="30"/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</x:row>
    <x:row r="20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</x:row>
    <x:row r="202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</x:row>
    <x:row r="203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</x:row>
    <x:row r="204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</x:row>
    <x:row r="205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</x:row>
    <x:row r="206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</x:row>
    <x:row r="207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</x:row>
    <x:row r="208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</x:row>
    <x:row r="209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</x:row>
    <x:row r="210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</x:row>
    <x:row r="21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</x:row>
    <x:row r="212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</x:row>
    <x:row r="213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</x:row>
    <x:row r="214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</x:row>
    <x:row r="215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</x:row>
    <x:row r="216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</x:row>
    <x:row r="217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</x:row>
    <x:row r="218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</x:row>
    <x:row r="219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</x:row>
    <x:row r="220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</x:row>
  </x:sheetData>
  <x:mergeCells>
    <x:mergeCell ref="A1:H1"/>
    <x:mergeCell ref="A2:H2"/>
  </x:mergeCells>
  <x:dataValidations count="1">
    <x:dataValidation type="list" sqref="B5">
      <x:formula1>Listas!$C$5:$C$12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5" hidden="0" customWidth="1"/>
    <x:col min="4" max="4" width="14" hidden="0" customWidth="1"/>
    <x:col min="5" max="5" width="14" hidden="0" customWidth="1"/>
    <x:col min="6" max="6" width="16" hidden="0" customWidth="1"/>
    <x:col min="7" max="7" width="15" hidden="0" customWidth="1"/>
    <x:col min="8" max="8" width="10" hidden="0" customWidth="1"/>
    <x:col min="9" max="9" width="22" hidden="0" customWidth="1"/>
    <x:col min="10" max="10" width="17" hidden="0" customWidth="1"/>
    <x:col min="11" max="11" width="17" hidden="0" customWidth="1"/>
    <x:col min="12" max="12" width="14" hidden="0" customWidth="1"/>
    <x:col min="13" max="13" width="36" hidden="0" customWidth="1"/>
    <x:col min="14" max="14" width="34" hidden="0" customWidth="1"/>
  </x:cols>
  <x:sheetData>
    <x:row r="1" ht="30" customHeight="1">
      <x:c r="A1" s="68" t="str">
        <x:v>PRECIFICAÇÃO E MODELOS COMERCIAIS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5"/>
      <x:c r="M1" s="5"/>
      <x:c r="N1" s="5"/>
    </x:row>
    <x:row r="2" ht="24" customHeight="1">
      <x:c r="A2" s="69" t="str">
        <x:v>Edite propostas, modelos, parcelas, recorrência, prazo e total informado</x:v>
      </x:c>
      <x:c r="B2" s="69"/>
      <x:c r="C2" s="69"/>
      <x:c r="D2" s="69"/>
      <x:c r="E2" s="69"/>
      <x:c r="F2" s="69"/>
      <x:c r="G2" s="69"/>
      <x:c r="H2" s="69"/>
      <x:c r="I2" s="69"/>
      <x:c r="J2" s="69"/>
      <x:c r="K2" s="69"/>
      <x:c r="L2" s="13"/>
      <x:c r="M2" s="13"/>
      <x:c r="N2" s="13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 ht="26" customHeight="1">
      <x:c r="A4" s="26" t="str">
        <x:v>Proposta</x:v>
      </x:c>
      <x:c r="B4" s="26" t="str">
        <x:v>Modelo comercial</x:v>
      </x:c>
      <x:c r="C4" s="26" t="str">
        <x:v>Setup base</x:v>
      </x:c>
      <x:c r="D4" s="26" t="str">
        <x:v>Sinal</x:v>
      </x:c>
      <x:c r="E4" s="26" t="str">
        <x:v>Entrega</x:v>
      </x:c>
      <x:c r="F4" s="26" t="str">
        <x:v>Intermediário</x:v>
      </x:c>
      <x:c r="G4" s="26" t="str">
        <x:v>Mensalidade</x:v>
      </x:c>
      <x:c r="H4" s="26" t="str">
        <x:v>Meses</x:v>
      </x:c>
      <x:c r="I4" s="26" t="str">
        <x:v>App/IP passa?</x:v>
      </x:c>
      <x:c r="J4" s="26" t="str">
        <x:v>Total informado</x:v>
      </x:c>
      <x:c r="K4" s="26" t="str">
        <x:v>Total calculado</x:v>
      </x:c>
      <x:c r="L4" s="26" t="str">
        <x:v>Gap</x:v>
      </x:c>
      <x:c r="M4" s="26" t="str">
        <x:v>Recomendação</x:v>
      </x:c>
      <x:c r="N4" s="26" t="str">
        <x:v>Chave</x:v>
      </x:c>
    </x:row>
    <x:row r="5">
      <x:c r="A5" s="30" t="str">
        <x:v>A - MVP Enxuto</x:v>
      </x:c>
      <x:c r="B5" s="30" t="str">
        <x:v>Opção 1 - Setup + Recorrência</x:v>
      </x:c>
      <x:c r="C5" s="74" t="n">
        <x:v>10000</x:v>
      </x:c>
      <x:c r="D5" s="74" t="n">
        <x:v>5000</x:v>
      </x:c>
      <x:c r="E5" s="74" t="n">
        <x:v>5000</x:v>
      </x:c>
      <x:c r="F5" s="74" t="n">
        <x:v>0</x:v>
      </x:c>
      <x:c r="G5" s="74" t="n">
        <x:v>350</x:v>
      </x:c>
      <x:c r="H5" s="30" t="n">
        <x:v>12</x:v>
      </x:c>
      <x:c r="I5" s="30" t="str">
        <x:v>Não / licença de uso</x:v>
      </x:c>
      <x:c r="J5" s="74" t="n">
        <x:v>14200</x:v>
      </x:c>
      <x:c r="K5" s="74" t="n">
        <x:f>D5+E5+F5+G5*H5</x:f>
        <x:v>14200</x:v>
      </x:c>
      <x:c r="L5" s="34" t="n">
        <x:f>K5-J5</x:f>
        <x:v>0</x:v>
      </x:c>
      <x:c r="M5" t="str">
        <x:v>Padrão: receita imediata + MRR</x:v>
      </x:c>
      <x:c r="N5" t="str">
        <x:f>A5&amp;B5</x:f>
        <x:v>A - MVP EnxutoOpção 1 - Setup + Recorrência</x:v>
      </x:c>
    </x:row>
    <x:row r="6">
      <x:c r="A6" s="30" t="str">
        <x:v>A - MVP Enxuto</x:v>
      </x:c>
      <x:c r="B6" s="30" t="str">
        <x:v>Opção 2 - Recorrência 36m</x:v>
      </x:c>
      <x:c r="C6" s="74" t="n">
        <x:v>10000</x:v>
      </x:c>
      <x:c r="D6" s="74" t="n">
        <x:v>3000</x:v>
      </x:c>
      <x:c r="E6" s="74" t="n">
        <x:v>3000</x:v>
      </x:c>
      <x:c r="F6" s="74" t="n">
        <x:v>0</x:v>
      </x:c>
      <x:c r="G6" s="74" t="n">
        <x:v>650</x:v>
      </x:c>
      <x:c r="H6" s="30" t="n">
        <x:v>36</x:v>
      </x:c>
      <x:c r="I6" s="30" t="str">
        <x:v>Sim ao final</x:v>
      </x:c>
      <x:c r="J6" s="74" t="n">
        <x:v>29400</x:v>
      </x:c>
      <x:c r="K6" s="74" t="n">
        <x:f>D6+E6+F6+G6*H6</x:f>
        <x:v>29400</x:v>
      </x:c>
      <x:c r="L6" s="34" t="n">
        <x:f>K6-J6</x:f>
        <x:v>0</x:v>
      </x:c>
      <x:c r="M6" t="str">
        <x:v>Cliente com pouco caixa inicial</x:v>
      </x:c>
      <x:c r="N6" t="str">
        <x:f>A6&amp;B6</x:f>
        <x:v>A - MVP EnxutoOpção 2 - Recorrência 36m</x:v>
      </x:c>
    </x:row>
    <x:row r="7">
      <x:c r="A7" s="30" t="str">
        <x:v>A - MVP Enxuto</x:v>
      </x:c>
      <x:c r="B7" s="30" t="str">
        <x:v>Opção 3 - Setup Único</x:v>
      </x:c>
      <x:c r="C7" s="74" t="n">
        <x:v>14000</x:v>
      </x:c>
      <x:c r="D7" s="74" t="n">
        <x:v>7000</x:v>
      </x:c>
      <x:c r="E7" s="74" t="n">
        <x:v>7000</x:v>
      </x:c>
      <x:c r="F7" s="74" t="n">
        <x:v>0</x:v>
      </x:c>
      <x:c r="G7" s="74" t="n">
        <x:v>0</x:v>
      </x:c>
      <x:c r="H7" s="30" t="n">
        <x:v>0</x:v>
      </x:c>
      <x:c r="I7" s="30" t="str">
        <x:v>A negociar</x:v>
      </x:c>
      <x:c r="J7" s="74" t="n">
        <x:v>14000</x:v>
      </x:c>
      <x:c r="K7" s="74" t="n">
        <x:f>D7+E7+F7+G7*H7</x:f>
        <x:v>14000</x:v>
      </x:c>
      <x:c r="L7" s="34" t="n">
        <x:f>K7-J7</x:f>
        <x:v>0</x:v>
      </x:c>
      <x:c r="M7" t="str">
        <x:v>Evitar se não houver suporte pago</x:v>
      </x:c>
      <x:c r="N7" t="str">
        <x:f>A7&amp;B7</x:f>
        <x:v>A - MVP EnxutoOpção 3 - Setup Único</x:v>
      </x:c>
    </x:row>
    <x:row r="8">
      <x:c r="A8" s="30" t="str">
        <x:v>A - MVP Enxuto</x:v>
      </x:c>
      <x:c r="B8" s="30" t="str">
        <x:v>Opção 4 - Híbrida</x:v>
      </x:c>
      <x:c r="C8" s="74" t="n">
        <x:v>10000</x:v>
      </x:c>
      <x:c r="D8" s="74" t="n">
        <x:v>3000</x:v>
      </x:c>
      <x:c r="E8" s="74" t="n">
        <x:v>3000</x:v>
      </x:c>
      <x:c r="F8" s="74" t="n">
        <x:v>0</x:v>
      </x:c>
      <x:c r="G8" s="74" t="n">
        <x:v>450</x:v>
      </x:c>
      <x:c r="H8" s="30" t="n">
        <x:v>24</x:v>
      </x:c>
      <x:c r="I8" s="30" t="str">
        <x:v>A negociar</x:v>
      </x:c>
      <x:c r="J8" s="74" t="n">
        <x:v>16800</x:v>
      </x:c>
      <x:c r="K8" s="74" t="n">
        <x:f>D8+E8+F8+G8*H8</x:f>
        <x:v>16800</x:v>
      </x:c>
      <x:c r="L8" s="34" t="n">
        <x:f>K8-J8</x:f>
        <x:v>0</x:v>
      </x:c>
      <x:c r="M8" t="str">
        <x:v>Recomendado para fechar</x:v>
      </x:c>
      <x:c r="N8" t="str">
        <x:f>A8&amp;B8</x:f>
        <x:v>A - MVP EnxutoOpção 4 - Híbrida</x:v>
      </x:c>
    </x:row>
    <x:row r="9">
      <x:c r="A9" s="30" t="str">
        <x:v>B - MVP Completo</x:v>
      </x:c>
      <x:c r="B9" s="30" t="str">
        <x:v>Opção 1 - Setup + Recorrência</x:v>
      </x:c>
      <x:c r="C9" s="74" t="n">
        <x:v>35000</x:v>
      </x:c>
      <x:c r="D9" s="74" t="n">
        <x:v>14000</x:v>
      </x:c>
      <x:c r="E9" s="74" t="n">
        <x:v>10500</x:v>
      </x:c>
      <x:c r="F9" s="74" t="n">
        <x:v>10500</x:v>
      </x:c>
      <x:c r="G9" s="74" t="n">
        <x:v>550</x:v>
      </x:c>
      <x:c r="H9" s="30" t="n">
        <x:v>12</x:v>
      </x:c>
      <x:c r="I9" s="30" t="str">
        <x:v>Não / licença de uso</x:v>
      </x:c>
      <x:c r="J9" s="74" t="n">
        <x:v>41600</x:v>
      </x:c>
      <x:c r="K9" s="74" t="n">
        <x:f>D9+E9+F9+G9*H9</x:f>
        <x:v>41600</x:v>
      </x:c>
      <x:c r="L9" s="34" t="n">
        <x:f>K9-J9</x:f>
        <x:v>0</x:v>
      </x:c>
      <x:c r="M9" t="str">
        <x:v>Completo, mas exige prazo maior</x:v>
      </x:c>
      <x:c r="N9" t="str">
        <x:f>A9&amp;B9</x:f>
        <x:v>B - MVP CompletoOpção 1 - Setup + Recorrência</x:v>
      </x:c>
    </x:row>
    <x:row r="10">
      <x:c r="A10" s="30" t="str">
        <x:v>B - MVP Completo</x:v>
      </x:c>
      <x:c r="B10" s="30" t="str">
        <x:v>Opção 2 - Recorrência 36m</x:v>
      </x:c>
      <x:c r="C10" s="74" t="n">
        <x:v>35000</x:v>
      </x:c>
      <x:c r="D10" s="74" t="n">
        <x:v>5000</x:v>
      </x:c>
      <x:c r="E10" s="74" t="n">
        <x:v>5000</x:v>
      </x:c>
      <x:c r="F10" s="74" t="n">
        <x:v>0</x:v>
      </x:c>
      <x:c r="G10" s="74" t="n">
        <x:v>950</x:v>
      </x:c>
      <x:c r="H10" s="30" t="n">
        <x:v>36</x:v>
      </x:c>
      <x:c r="I10" s="30" t="str">
        <x:v>Sim ao final</x:v>
      </x:c>
      <x:c r="J10" s="74" t="n">
        <x:v>44200</x:v>
      </x:c>
      <x:c r="K10" s="74" t="n">
        <x:f>D10+E10+F10+G10*H10</x:f>
        <x:v>44200</x:v>
      </x:c>
      <x:c r="L10" s="34" t="n">
        <x:f>K10-J10</x:f>
        <x:v>0</x:v>
      </x:c>
      <x:c r="M10" t="str">
        <x:v>Entrada baixa com contrato longo</x:v>
      </x:c>
      <x:c r="N10" t="str">
        <x:f>A10&amp;B10</x:f>
        <x:v>B - MVP CompletoOpção 2 - Recorrência 36m</x:v>
      </x:c>
    </x:row>
    <x:row r="11">
      <x:c r="A11" s="30" t="str">
        <x:v>B - MVP Completo</x:v>
      </x:c>
      <x:c r="B11" s="30" t="str">
        <x:v>Opção 3 - Setup Único</x:v>
      </x:c>
      <x:c r="C11" s="74" t="n">
        <x:v>50000</x:v>
      </x:c>
      <x:c r="D11" s="74" t="n">
        <x:v>25000</x:v>
      </x:c>
      <x:c r="E11" s="74" t="n">
        <x:v>25000</x:v>
      </x:c>
      <x:c r="F11" s="74" t="n">
        <x:v>0</x:v>
      </x:c>
      <x:c r="G11" s="74" t="n">
        <x:v>0</x:v>
      </x:c>
      <x:c r="H11" s="30" t="n">
        <x:v>0</x:v>
      </x:c>
      <x:c r="I11" s="30" t="str">
        <x:v>A negociar</x:v>
      </x:c>
      <x:c r="J11" s="74" t="n">
        <x:v>50000</x:v>
      </x:c>
      <x:c r="K11" s="74" t="n">
        <x:f>D11+E11+F11+G11*H11</x:f>
        <x:v>50000</x:v>
      </x:c>
      <x:c r="L11" s="34" t="n">
        <x:f>K11-J11</x:f>
        <x:v>0</x:v>
      </x:c>
      <x:c r="M11" t="str">
        <x:v>Somente exceção</x:v>
      </x:c>
      <x:c r="N11" t="str">
        <x:f>A11&amp;B11</x:f>
        <x:v>B - MVP CompletoOpção 3 - Setup Único</x:v>
      </x:c>
    </x:row>
    <x:row r="12">
      <x:c r="A12" s="30" t="str">
        <x:v>B - MVP Completo</x:v>
      </x:c>
      <x:c r="B12" s="30" t="str">
        <x:v>Opção 4 - Híbrida</x:v>
      </x:c>
      <x:c r="C12" s="74" t="n">
        <x:v>35000</x:v>
      </x:c>
      <x:c r="D12" s="74" t="n">
        <x:v>8000</x:v>
      </x:c>
      <x:c r="E12" s="74" t="n">
        <x:v>8000</x:v>
      </x:c>
      <x:c r="F12" s="74" t="n">
        <x:v>0</x:v>
      </x:c>
      <x:c r="G12" s="74" t="n">
        <x:v>700</x:v>
      </x:c>
      <x:c r="H12" s="30" t="n">
        <x:v>24</x:v>
      </x:c>
      <x:c r="I12" s="30" t="str">
        <x:v>A negociar</x:v>
      </x:c>
      <x:c r="J12" s="74" t="n">
        <x:v>32800</x:v>
      </x:c>
      <x:c r="K12" s="74" t="n">
        <x:f>D12+E12+F12+G12*H12</x:f>
        <x:v>32800</x:v>
      </x:c>
      <x:c r="L12" s="34" t="n">
        <x:f>K12-J12</x:f>
        <x:v>0</x:v>
      </x:c>
      <x:c r="M12" t="str">
        <x:v>Híbrido completo</x:v>
      </x:c>
      <x:c r="N12" t="str">
        <x:f>A12&amp;B12</x:f>
        <x:v>B - MVP CompletoOpção 4 - Híbrida</x:v>
      </x:c>
    </x:row>
    <x:row r="13">
      <x:c r="A13" s="30" t="str">
        <x:v>C - Evolução / Add-on</x:v>
      </x:c>
      <x:c r="B13" s="30" t="str">
        <x:v>Opção 1 - Setup + Recorrência</x:v>
      </x:c>
      <x:c r="C13" s="74" t="n">
        <x:v>15000</x:v>
      </x:c>
      <x:c r="D13" s="74" t="n">
        <x:v>7500</x:v>
      </x:c>
      <x:c r="E13" s="74" t="n">
        <x:v>7500</x:v>
      </x:c>
      <x:c r="F13" s="74" t="n">
        <x:v>0</x:v>
      </x:c>
      <x:c r="G13" s="74" t="n">
        <x:v>300</x:v>
      </x:c>
      <x:c r="H13" s="30" t="n">
        <x:v>12</x:v>
      </x:c>
      <x:c r="I13" s="30" t="str">
        <x:v>Não / licença de uso</x:v>
      </x:c>
      <x:c r="J13" s="74" t="n">
        <x:v>18600</x:v>
      </x:c>
      <x:c r="K13" s="74" t="n">
        <x:f>D13+E13+F13+G13*H13</x:f>
        <x:v>18600</x:v>
      </x:c>
      <x:c r="L13" s="34" t="n">
        <x:f>K13-J13</x:f>
        <x:v>0</x:v>
      </x:c>
      <x:c r="M13" t="str">
        <x:v>Add-on após MVP</x:v>
      </x:c>
      <x:c r="N13" t="str">
        <x:f>A13&amp;B13</x:f>
        <x:v>C - Evolução / Add-onOpção 1 - Setup + Recorrência</x:v>
      </x:c>
    </x:row>
    <x:row r="14">
      <x:c r="A14" s="30" t="str">
        <x:v>D - Custom</x:v>
      </x:c>
      <x:c r="B14" s="30" t="str">
        <x:v>Custom</x:v>
      </x:c>
      <x:c r="C14" s="74" t="n">
        <x:v>0</x:v>
      </x:c>
      <x:c r="D14" s="74" t="n">
        <x:v>0</x:v>
      </x:c>
      <x:c r="E14" s="74" t="n">
        <x:v>0</x:v>
      </x:c>
      <x:c r="F14" s="74" t="n">
        <x:v>0</x:v>
      </x:c>
      <x:c r="G14" s="74" t="n">
        <x:v>0</x:v>
      </x:c>
      <x:c r="H14" s="30" t="n">
        <x:v>0</x:v>
      </x:c>
      <x:c r="I14" s="30" t="str">
        <x:v>Definir</x:v>
      </x:c>
      <x:c r="J14" s="74" t="n">
        <x:v>0</x:v>
      </x:c>
      <x:c r="K14" s="74" t="n">
        <x:f>D14+E14+F14+G14*H14</x:f>
        <x:v>0</x:v>
      </x:c>
      <x:c r="L14" s="34" t="n">
        <x:f>K14-J14</x:f>
        <x:v>0</x:v>
      </x:c>
      <x:c r="M14" t="str">
        <x:v>Linha livre para novo projeto</x:v>
      </x:c>
      <x:c r="N14" t="str">
        <x:f>A14&amp;B14</x:f>
        <x:v>D - CustomCustom</x:v>
      </x:c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</x:row>
    <x:row r="20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</x:row>
    <x:row r="202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</x:row>
    <x:row r="203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</x:row>
    <x:row r="204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</x:row>
    <x:row r="205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</x:row>
    <x:row r="206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</x:row>
    <x:row r="207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</x:row>
    <x:row r="208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</x:row>
    <x:row r="209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</x:row>
    <x:row r="210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</x:row>
    <x:row r="21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</x:row>
    <x:row r="212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</x:row>
    <x:row r="213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</x:row>
    <x:row r="214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</x:row>
    <x:row r="215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</x:row>
    <x:row r="216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</x:row>
    <x:row r="217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</x:row>
    <x:row r="218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</x:row>
    <x:row r="219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</x:row>
    <x:row r="220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</x:row>
  </x:sheetData>
  <x:mergeCells>
    <x:mergeCell ref="A1:N1"/>
    <x:mergeCell ref="A2:N2"/>
  </x:mergeCells>
  <x:conditionalFormatting sqref="L5:L14">
    <x:cfRule type="expression" dxfId="0" priority="1">
      <x:formula>ABS(L5)&gt;1</x:formula>
    </x:cfRule>
  </x:conditionalFormatting>
  <x:dataValidations count="2">
    <x:dataValidation type="list" sqref="A5:A14">
      <x:formula1>Listas!$A$5:$A$8</x:formula1>
    </x:dataValidation>
    <x:dataValidation type="list" sqref="B5:B14">
      <x:formula1>Listas!$B$5:$B$9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5ae5c18bc0480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14" hidden="0" customWidth="1"/>
    <x:col min="4" max="4" width="46" hidden="0" customWidth="1"/>
    <x:col min="5" max="5" width="16" hidden="0" customWidth="1"/>
    <x:col min="6" max="6" width="42" hidden="0" customWidth="1"/>
  </x:cols>
  <x:sheetData>
    <x:row r="1" ht="30" customHeight="1">
      <x:c r="A1" s="68" t="str">
        <x:v>CONFIGURAÇÕES GERAIS</x:v>
      </x:c>
      <x:c r="B1" s="68"/>
      <x:c r="C1" s="68"/>
      <x:c r="D1" s="68"/>
      <x:c r="E1" s="68"/>
      <x:c r="F1" s="68"/>
      <x:c r="G1" s="30"/>
      <x:c r="H1" s="30"/>
      <x:c r="I1" s="30"/>
      <x:c r="J1" s="30"/>
      <x:c r="K1" s="30"/>
    </x:row>
    <x:row r="2" ht="24" customHeight="1">
      <x:c r="A2" s="69" t="str">
        <x:v>Premissas de margem, impostos, custos, suporte e operação</x:v>
      </x:c>
      <x:c r="B2" s="69"/>
      <x:c r="C2" s="69"/>
      <x:c r="D2" s="69"/>
      <x:c r="E2" s="69"/>
      <x:c r="F2" s="69"/>
      <x:c r="G2" s="30"/>
      <x:c r="H2" s="30"/>
      <x:c r="I2" s="30"/>
      <x:c r="J2" s="30"/>
      <x:c r="K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 ht="26" customHeight="1">
      <x:c r="A4" s="26" t="str">
        <x:v>Configuração</x:v>
      </x:c>
      <x:c r="B4" s="26" t="str">
        <x:v>Valor</x:v>
      </x:c>
      <x:c r="C4" s="26" t="str">
        <x:v>Unidade</x:v>
      </x:c>
      <x:c r="D4" s="26" t="str">
        <x:v>Descrição</x:v>
      </x:c>
      <x:c r="E4" s="26" t="str">
        <x:v>Editável?</x:v>
      </x:c>
      <x:c r="F4" s="26" t="str">
        <x:v>Observação</x:v>
      </x:c>
      <x:c r="G4" s="30"/>
      <x:c r="H4" s="30"/>
      <x:c r="I4" s="30"/>
      <x:c r="J4" s="30"/>
      <x:c r="K4" s="30"/>
    </x:row>
    <x:row r="5">
      <x:c r="A5" s="30" t="str">
        <x:v>Moeda</x:v>
      </x:c>
      <x:c r="B5" s="30" t="str">
        <x:v>BRL</x:v>
      </x:c>
      <x:c r="C5" s="30" t="str">
        <x:v>texto</x:v>
      </x:c>
      <x:c r="D5" s="30" t="str">
        <x:v>Moeda padrão</x:v>
      </x:c>
      <x:c r="E5" s="30" t="str">
        <x:v>Sim</x:v>
      </x:c>
      <x:c r="F5" s="30" t="str"/>
      <x:c r="G5" s="30"/>
      <x:c r="H5" s="30"/>
      <x:c r="I5" s="30"/>
      <x:c r="J5" s="30"/>
      <x:c r="K5" s="30"/>
    </x:row>
    <x:row r="6">
      <x:c r="A6" s="30" t="str">
        <x:v>Taxa impostos sobre faturamento</x:v>
      </x:c>
      <x:c r="B6" s="77" t="n">
        <x:v>0.06</x:v>
      </x:c>
      <x:c r="C6" s="30" t="str">
        <x:v>%</x:v>
      </x:c>
      <x:c r="D6" s="30" t="str">
        <x:v>Impostos/taxas estimadas</x:v>
      </x:c>
      <x:c r="E6" s="30" t="str">
        <x:v>Sim</x:v>
      </x:c>
      <x:c r="F6" s="30" t="str">
        <x:v>Ajuste conforme regime fiscal</x:v>
      </x:c>
      <x:c r="G6" s="30"/>
      <x:c r="H6" s="30"/>
      <x:c r="I6" s="30"/>
      <x:c r="J6" s="30"/>
      <x:c r="K6" s="30"/>
    </x:row>
    <x:row r="7">
      <x:c r="A7" s="30" t="str">
        <x:v>Taxa risco/contingência</x:v>
      </x:c>
      <x:c r="B7" s="77" t="n">
        <x:v>0.1</x:v>
      </x:c>
      <x:c r="C7" s="30" t="str">
        <x:v>%</x:v>
      </x:c>
      <x:c r="D7" s="30" t="str">
        <x:v>Reserva sugerida para imprevistos</x:v>
      </x:c>
      <x:c r="E7" s="30" t="str">
        <x:v>Sim</x:v>
      </x:c>
      <x:c r="F7" s="30" t="str">
        <x:v>Pode ser embutida na proposta</x:v>
      </x:c>
      <x:c r="G7" s="30"/>
      <x:c r="H7" s="30"/>
      <x:c r="I7" s="30"/>
      <x:c r="J7" s="30"/>
      <x:c r="K7" s="30"/>
    </x:row>
    <x:row r="8">
      <x:c r="A8" s="30" t="str">
        <x:v>Meta margem líquida</x:v>
      </x:c>
      <x:c r="B8" s="77" t="n">
        <x:v>0.3</x:v>
      </x:c>
      <x:c r="C8" s="30" t="str">
        <x:v>%</x:v>
      </x:c>
      <x:c r="D8" s="30" t="str">
        <x:v>Margem mínima desejada</x:v>
      </x:c>
      <x:c r="E8" s="30" t="str">
        <x:v>Sim</x:v>
      </x:c>
      <x:c r="F8" s="30" t="str">
        <x:v>Dashboard alerta se ficar abaixo</x:v>
      </x:c>
      <x:c r="G8" s="30"/>
      <x:c r="H8" s="30"/>
      <x:c r="I8" s="30"/>
      <x:c r="J8" s="30"/>
      <x:c r="K8" s="30"/>
    </x:row>
    <x:row r="9">
      <x:c r="A9" s="30" t="str">
        <x:v>Custo infra mensal padrão</x:v>
      </x:c>
      <x:c r="B9" s="74" t="n">
        <x:v>150</x:v>
      </x:c>
      <x:c r="C9" s="30" t="str">
        <x:v>R$/mês</x:v>
      </x:c>
      <x:c r="D9" s="30" t="str">
        <x:v>Hospedagem, banco, storage, APIs</x:v>
      </x:c>
      <x:c r="E9" s="30" t="str">
        <x:v>Sim</x:v>
      </x:c>
      <x:c r="F9" s="30" t="str"/>
      <x:c r="G9" s="30"/>
      <x:c r="H9" s="30"/>
      <x:c r="I9" s="30"/>
      <x:c r="J9" s="30"/>
      <x:c r="K9" s="30"/>
    </x:row>
    <x:row r="10">
      <x:c r="A10" s="30" t="str">
        <x:v>Custo suporte mensal padrão</x:v>
      </x:c>
      <x:c r="B10" s="74" t="n">
        <x:v>150</x:v>
      </x:c>
      <x:c r="C10" s="30" t="str">
        <x:v>R$/mês</x:v>
      </x:c>
      <x:c r="D10" s="30" t="str">
        <x:v>Suporte recorrente estimado</x:v>
      </x:c>
      <x:c r="E10" s="30" t="str">
        <x:v>Sim</x:v>
      </x:c>
      <x:c r="F10" s="30" t="str"/>
      <x:c r="G10" s="30"/>
      <x:c r="H10" s="30"/>
      <x:c r="I10" s="30"/>
      <x:c r="J10" s="30"/>
      <x:c r="K10" s="30"/>
    </x:row>
    <x:row r="11">
      <x:c r="A11" s="30" t="str">
        <x:v>Custo operacional mensal</x:v>
      </x:c>
      <x:c r="B11" s="74" t="n">
        <x:f>B9+B10</x:f>
        <x:v>300</x:v>
      </x:c>
      <x:c r="C11" s="30" t="str">
        <x:v>R$/mês</x:v>
      </x:c>
      <x:c r="D11" s="30" t="str">
        <x:v>Infra + suporte</x:v>
      </x:c>
      <x:c r="E11" s="30" t="str">
        <x:v>Automático</x:v>
      </x:c>
      <x:c r="F11" s="30" t="str">
        <x:v>Usado no dashboard</x:v>
      </x:c>
      <x:c r="G11" s="30"/>
      <x:c r="H11" s="30"/>
      <x:c r="I11" s="30"/>
      <x:c r="J11" s="30"/>
      <x:c r="K11" s="30"/>
    </x:row>
    <x:row r="12">
      <x:c r="A12" s="30" t="str">
        <x:v>Valor/h Comercial</x:v>
      </x:c>
      <x:c r="B12" s="74" t="n">
        <x:v>60</x:v>
      </x:c>
      <x:c r="C12" s="30" t="str">
        <x:v>R$/h</x:v>
      </x:c>
      <x:c r="D12" s="30" t="str">
        <x:v>Custo interno ou referência</x:v>
      </x:c>
      <x:c r="E12" s="30" t="str">
        <x:v>Sim</x:v>
      </x:c>
      <x:c r="F12" s="30" t="str"/>
      <x:c r="G12" s="30"/>
      <x:c r="H12" s="30"/>
      <x:c r="I12" s="30"/>
      <x:c r="J12" s="30"/>
      <x:c r="K12" s="30"/>
    </x:row>
    <x:row r="13">
      <x:c r="A13" s="30" t="str">
        <x:v>Valor/h Dev Frontend</x:v>
      </x:c>
      <x:c r="B13" s="74" t="n">
        <x:v>80</x:v>
      </x:c>
      <x:c r="C13" s="30" t="str">
        <x:v>R$/h</x:v>
      </x:c>
      <x:c r="D13" s="30" t="str">
        <x:v>Custo interno ou referência</x:v>
      </x:c>
      <x:c r="E13" s="30" t="str">
        <x:v>Sim</x:v>
      </x:c>
      <x:c r="F13" s="30" t="str"/>
      <x:c r="G13" s="30"/>
      <x:c r="H13" s="30"/>
      <x:c r="I13" s="30"/>
      <x:c r="J13" s="30"/>
      <x:c r="K13" s="30"/>
    </x:row>
    <x:row r="14">
      <x:c r="A14" s="30" t="str">
        <x:v>Valor/h Dev Backend</x:v>
      </x:c>
      <x:c r="B14" s="74" t="n">
        <x:v>90</x:v>
      </x:c>
      <x:c r="C14" s="30" t="str">
        <x:v>R$/h</x:v>
      </x:c>
      <x:c r="D14" s="30" t="str">
        <x:v>Custo interno ou referência</x:v>
      </x:c>
      <x:c r="E14" s="30" t="str">
        <x:v>Sim</x:v>
      </x:c>
      <x:c r="F14" s="30" t="str"/>
      <x:c r="G14" s="30"/>
      <x:c r="H14" s="30"/>
      <x:c r="I14" s="30"/>
      <x:c r="J14" s="30"/>
      <x:c r="K14" s="30"/>
    </x:row>
    <x:row r="15">
      <x:c r="A15" s="30" t="str">
        <x:v>Valor/h Arquitetura/QA</x:v>
      </x:c>
      <x:c r="B15" s="74" t="n">
        <x:v>110</x:v>
      </x:c>
      <x:c r="C15" s="30" t="str">
        <x:v>R$/h</x:v>
      </x:c>
      <x:c r="D15" s="30" t="str">
        <x:v>Custo interno ou referência</x:v>
      </x:c>
      <x:c r="E15" s="30" t="str">
        <x:v>Sim</x:v>
      </x:c>
      <x:c r="F15" s="30" t="str"/>
      <x:c r="G15" s="30"/>
      <x:c r="H15" s="30"/>
      <x:c r="I15" s="30"/>
      <x:c r="J15" s="30"/>
      <x:c r="K15" s="30"/>
    </x:row>
    <x:row r="16">
      <x:c r="A16" s="30" t="str">
        <x:v>Valor/h Gestão/PM</x:v>
      </x:c>
      <x:c r="B16" s="74" t="n">
        <x:v>80</x:v>
      </x:c>
      <x:c r="C16" s="30" t="str">
        <x:v>R$/h</x:v>
      </x:c>
      <x:c r="D16" s="30" t="str">
        <x:v>Custo interno ou referência</x:v>
      </x:c>
      <x:c r="E16" s="30" t="str">
        <x:v>Sim</x:v>
      </x:c>
      <x:c r="F16" s="30" t="str"/>
      <x:c r="G16" s="30"/>
      <x:c r="H16" s="30"/>
      <x:c r="I16" s="30"/>
      <x:c r="J16" s="30"/>
      <x:c r="K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</x:row>
    <x:row r="20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</x:row>
    <x:row r="202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</x:row>
    <x:row r="203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</x:row>
    <x:row r="204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</x:row>
    <x:row r="205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</x:row>
    <x:row r="206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</x:row>
    <x:row r="207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</x:row>
    <x:row r="208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</x:row>
    <x:row r="209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</x:row>
    <x:row r="210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</x:row>
    <x:row r="21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</x:row>
    <x:row r="212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</x:row>
    <x:row r="213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</x:row>
    <x:row r="214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</x:row>
    <x:row r="215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</x:row>
    <x:row r="216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</x:row>
    <x:row r="217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</x:row>
    <x:row r="218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</x:row>
    <x:row r="219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</x:row>
    <x:row r="220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26" hidden="0" customWidth="1"/>
    <x:col min="5" max="5" width="12" hidden="0" customWidth="1"/>
    <x:col min="6" max="6" width="10" hidden="0" customWidth="1"/>
    <x:col min="7" max="7" width="16" hidden="0" customWidth="1"/>
    <x:col min="8" max="8" width="16" hidden="0" customWidth="1"/>
    <x:col min="9" max="9" width="44" hidden="0" customWidth="1"/>
  </x:cols>
  <x:sheetData>
    <x:row r="1" ht="30" customHeight="1">
      <x:c r="A1" s="68" t="str">
        <x:v>CUSTOS DO PROJETO</x:v>
      </x:c>
      <x:c r="B1" s="68"/>
      <x:c r="C1" s="68"/>
      <x:c r="D1" s="68"/>
      <x:c r="E1" s="68"/>
      <x:c r="F1" s="68"/>
      <x:c r="G1" s="68"/>
      <x:c r="H1" s="68"/>
      <x:c r="I1" s="68"/>
      <x:c r="J1" s="30"/>
      <x:c r="K1" s="30"/>
    </x:row>
    <x:row r="2" ht="24" customHeight="1">
      <x:c r="A2" s="69" t="str">
        <x:v>Horas, custos internos, infraestrutura e esforço estimado por proposta</x:v>
      </x:c>
      <x:c r="B2" s="69"/>
      <x:c r="C2" s="69"/>
      <x:c r="D2" s="69"/>
      <x:c r="E2" s="69"/>
      <x:c r="F2" s="69"/>
      <x:c r="G2" s="69"/>
      <x:c r="H2" s="69"/>
      <x:c r="I2" s="69"/>
      <x:c r="J2" s="30"/>
      <x:c r="K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 ht="26" customHeight="1">
      <x:c r="A4" s="26" t="str">
        <x:v>Categoria</x:v>
      </x:c>
      <x:c r="B4" s="26" t="str">
        <x:v>Proposta</x:v>
      </x:c>
      <x:c r="C4" s="26" t="str">
        <x:v>Item</x:v>
      </x:c>
      <x:c r="D4" s="26" t="str">
        <x:v>Responsável/Papel</x:v>
      </x:c>
      <x:c r="E4" s="26" t="str">
        <x:v>Qtd/Horas</x:v>
      </x:c>
      <x:c r="F4" s="26" t="str">
        <x:v>Unidade</x:v>
      </x:c>
      <x:c r="G4" s="26" t="str">
        <x:v>Custo unitário</x:v>
      </x:c>
      <x:c r="H4" s="26" t="str">
        <x:v>Custo total</x:v>
      </x:c>
      <x:c r="I4" s="26" t="str">
        <x:v>Observação</x:v>
      </x:c>
      <x:c r="J4" s="30"/>
      <x:c r="K4" s="30"/>
    </x:row>
    <x:row r="5">
      <x:c r="A5" s="30" t="str">
        <x:v>Desenvolvimento</x:v>
      </x:c>
      <x:c r="B5" s="30" t="str">
        <x:v>A - MVP Enxuto</x:v>
      </x:c>
      <x:c r="C5" s="30" t="str">
        <x:v>Frontend / produto</x:v>
      </x:c>
      <x:c r="D5" s="30" t="str">
        <x:v>Dev Frontend/Produto</x:v>
      </x:c>
      <x:c r="E5" s="30" t="n">
        <x:v>35</x:v>
      </x:c>
      <x:c r="F5" s="30" t="str">
        <x:v>h</x:v>
      </x:c>
      <x:c r="G5" s="74" t="n">
        <x:f>IF(D5="Comercial/Account",Config!$B$12,IF(D5="Dev Frontend/Produto",Config!$B$13,IF(D5="Dev Backend/Infra",Config!$B$14,IF(D5="Arquitetura/QA",Config!$B$15,IF(D5="Gestão/PM",Config!$B$16,0)))))</x:f>
        <x:v>80</x:v>
      </x:c>
      <x:c r="H5" s="74" t="n">
        <x:f>E5*G5</x:f>
        <x:v>2800</x:v>
      </x:c>
      <x:c r="I5" s="30" t="str">
        <x:v>Mobile/web, telas core</x:v>
      </x:c>
      <x:c r="J5" s="30"/>
      <x:c r="K5" s="30"/>
    </x:row>
    <x:row r="6">
      <x:c r="A6" s="30" t="str">
        <x:v>Desenvolvimento</x:v>
      </x:c>
      <x:c r="B6" s="30" t="str">
        <x:v>A - MVP Enxuto</x:v>
      </x:c>
      <x:c r="C6" s="30" t="str">
        <x:v>Backend / infra</x:v>
      </x:c>
      <x:c r="D6" s="30" t="str">
        <x:v>Dev Backend/Infra</x:v>
      </x:c>
      <x:c r="E6" s="30" t="n">
        <x:v>35</x:v>
      </x:c>
      <x:c r="F6" s="30" t="str">
        <x:v>h</x:v>
      </x:c>
      <x:c r="G6" s="74" t="n">
        <x:f>IF(D6="Comercial/Account",Config!$B$12,IF(D6="Dev Frontend/Produto",Config!$B$13,IF(D6="Dev Backend/Infra",Config!$B$14,IF(D6="Arquitetura/QA",Config!$B$15,IF(D6="Gestão/PM",Config!$B$16,0)))))</x:f>
        <x:v>90</x:v>
      </x:c>
      <x:c r="H6" s="74" t="n">
        <x:f>E6*G6</x:f>
        <x:v>3150</x:v>
      </x:c>
      <x:c r="I6" s="30" t="str">
        <x:v>DB, auth, APIs, deploy</x:v>
      </x:c>
      <x:c r="J6" s="30"/>
      <x:c r="K6" s="30"/>
    </x:row>
    <x:row r="7">
      <x:c r="A7" s="30" t="str">
        <x:v>Qualidade</x:v>
      </x:c>
      <x:c r="B7" s="30" t="str">
        <x:v>A - MVP Enxuto</x:v>
      </x:c>
      <x:c r="C7" s="30" t="str">
        <x:v>Arquitetura + QA</x:v>
      </x:c>
      <x:c r="D7" s="30" t="str">
        <x:v>Arquitetura/QA</x:v>
      </x:c>
      <x:c r="E7" s="30" t="n">
        <x:v>8</x:v>
      </x:c>
      <x:c r="F7" s="30" t="str">
        <x:v>h</x:v>
      </x:c>
      <x:c r="G7" s="74" t="n">
        <x:f>IF(D7="Comercial/Account",Config!$B$12,IF(D7="Dev Frontend/Produto",Config!$B$13,IF(D7="Dev Backend/Infra",Config!$B$14,IF(D7="Arquitetura/QA",Config!$B$15,IF(D7="Gestão/PM",Config!$B$16,0)))))</x:f>
        <x:v>110</x:v>
      </x:c>
      <x:c r="H7" s="74" t="n">
        <x:f>E7*G7</x:f>
        <x:v>880</x:v>
      </x:c>
      <x:c r="I7" s="30" t="str">
        <x:v>Revisão, aceite, riscos</x:v>
      </x:c>
      <x:c r="J7" s="30"/>
      <x:c r="K7" s="30"/>
    </x:row>
    <x:row r="8">
      <x:c r="A8" s="30" t="str">
        <x:v>Gestão</x:v>
      </x:c>
      <x:c r="B8" s="30" t="str">
        <x:v>A - MVP Enxuto</x:v>
      </x:c>
      <x:c r="C8" s="30" t="str">
        <x:v>PM / coordenação</x:v>
      </x:c>
      <x:c r="D8" s="30" t="str">
        <x:v>Gestão/PM</x:v>
      </x:c>
      <x:c r="E8" s="30" t="n">
        <x:v>8</x:v>
      </x:c>
      <x:c r="F8" s="30" t="str">
        <x:v>h</x:v>
      </x:c>
      <x:c r="G8" s="74" t="n">
        <x:f>IF(D8="Comercial/Account",Config!$B$12,IF(D8="Dev Frontend/Produto",Config!$B$13,IF(D8="Dev Backend/Infra",Config!$B$14,IF(D8="Arquitetura/QA",Config!$B$15,IF(D8="Gestão/PM",Config!$B$16,0)))))</x:f>
        <x:v>80</x:v>
      </x:c>
      <x:c r="H8" s="74" t="n">
        <x:f>E8*G8</x:f>
        <x:v>640</x:v>
      </x:c>
      <x:c r="I8" s="30" t="str">
        <x:v>Rituais, follow-up</x:v>
      </x:c>
      <x:c r="J8" s="30"/>
      <x:c r="K8" s="30"/>
    </x:row>
    <x:row r="9">
      <x:c r="A9" s="30" t="str">
        <x:v>Comercial</x:v>
      </x:c>
      <x:c r="B9" s="30" t="str">
        <x:v>A - MVP Enxuto</x:v>
      </x:c>
      <x:c r="C9" s="30" t="str">
        <x:v>Venda + acompanhamento</x:v>
      </x:c>
      <x:c r="D9" s="30" t="str">
        <x:v>Comercial/Account</x:v>
      </x:c>
      <x:c r="E9" s="30" t="n">
        <x:v>6</x:v>
      </x:c>
      <x:c r="F9" s="30" t="str">
        <x:v>h</x:v>
      </x:c>
      <x:c r="G9" s="74" t="n">
        <x:f>IF(D9="Comercial/Account",Config!$B$12,IF(D9="Dev Frontend/Produto",Config!$B$13,IF(D9="Dev Backend/Infra",Config!$B$14,IF(D9="Arquitetura/QA",Config!$B$15,IF(D9="Gestão/PM",Config!$B$16,0)))))</x:f>
        <x:v>60</x:v>
      </x:c>
      <x:c r="H9" s="74" t="n">
        <x:f>E9*G9</x:f>
        <x:v>360</x:v>
      </x:c>
      <x:c r="I9" s="30" t="str">
        <x:v>Discovery e relacionamento</x:v>
      </x:c>
      <x:c r="J9" s="30"/>
      <x:c r="K9" s="30"/>
    </x:row>
    <x:row r="10">
      <x:c r="A10" s="30" t="str">
        <x:v>Desenvolvimento</x:v>
      </x:c>
      <x:c r="B10" s="30" t="str">
        <x:v>B - MVP Completo</x:v>
      </x:c>
      <x:c r="C10" s="30" t="str">
        <x:v>Frontend / produto</x:v>
      </x:c>
      <x:c r="D10" s="30" t="str">
        <x:v>Dev Frontend/Produto</x:v>
      </x:c>
      <x:c r="E10" s="30" t="n">
        <x:v>80</x:v>
      </x:c>
      <x:c r="F10" s="30" t="str">
        <x:v>h</x:v>
      </x:c>
      <x:c r="G10" s="74" t="n">
        <x:f>IF(D10="Comercial/Account",Config!$B$12,IF(D10="Dev Frontend/Produto",Config!$B$13,IF(D10="Dev Backend/Infra",Config!$B$14,IF(D10="Arquitetura/QA",Config!$B$15,IF(D10="Gestão/PM",Config!$B$16,0)))))</x:f>
        <x:v>80</x:v>
      </x:c>
      <x:c r="H10" s="74" t="n">
        <x:f>E10*G10</x:f>
        <x:v>6400</x:v>
      </x:c>
      <x:c r="I10" s="30" t="str">
        <x:v>Mais telas, gráficos, filtros</x:v>
      </x:c>
      <x:c r="J10" s="30"/>
      <x:c r="K10" s="30"/>
    </x:row>
    <x:row r="11">
      <x:c r="A11" s="30" t="str">
        <x:v>Desenvolvimento</x:v>
      </x:c>
      <x:c r="B11" s="30" t="str">
        <x:v>B - MVP Completo</x:v>
      </x:c>
      <x:c r="C11" s="30" t="str">
        <x:v>Backend / integrações</x:v>
      </x:c>
      <x:c r="D11" s="30" t="str">
        <x:v>Dev Backend/Infra</x:v>
      </x:c>
      <x:c r="E11" s="30" t="n">
        <x:v>85</x:v>
      </x:c>
      <x:c r="F11" s="30" t="str">
        <x:v>h</x:v>
      </x:c>
      <x:c r="G11" s="74" t="n">
        <x:f>IF(D11="Comercial/Account",Config!$B$12,IF(D11="Dev Frontend/Produto",Config!$B$13,IF(D11="Dev Backend/Infra",Config!$B$14,IF(D11="Arquitetura/QA",Config!$B$15,IF(D11="Gestão/PM",Config!$B$16,0)))))</x:f>
        <x:v>90</x:v>
      </x:c>
      <x:c r="H11" s="74" t="n">
        <x:f>E11*G11</x:f>
        <x:v>7650</x:v>
      </x:c>
      <x:c r="I11" s="30" t="str">
        <x:v>Roteirização, APIs, dados</x:v>
      </x:c>
      <x:c r="J11" s="30"/>
      <x:c r="K11" s="30"/>
    </x:row>
    <x:row r="12">
      <x:c r="A12" s="30" t="str">
        <x:v>Dados</x:v>
      </x:c>
      <x:c r="B12" s="30" t="str">
        <x:v>B - MVP Completo</x:v>
      </x:c>
      <x:c r="C12" s="30" t="str">
        <x:v>Dashboards / BI</x:v>
      </x:c>
      <x:c r="D12" s="30" t="str">
        <x:v>Dev Backend/Infra</x:v>
      </x:c>
      <x:c r="E12" s="30" t="n">
        <x:v>35</x:v>
      </x:c>
      <x:c r="F12" s="30" t="str">
        <x:v>h</x:v>
      </x:c>
      <x:c r="G12" s="74" t="n">
        <x:f>IF(D12="Comercial/Account",Config!$B$12,IF(D12="Dev Frontend/Produto",Config!$B$13,IF(D12="Dev Backend/Infra",Config!$B$14,IF(D12="Arquitetura/QA",Config!$B$15,IF(D12="Gestão/PM",Config!$B$16,0)))))</x:f>
        <x:v>90</x:v>
      </x:c>
      <x:c r="H12" s="74" t="n">
        <x:f>E12*G12</x:f>
        <x:v>3150</x:v>
      </x:c>
      <x:c r="I12" s="30" t="str">
        <x:v>KPIs, financeiro, relatórios</x:v>
      </x:c>
      <x:c r="J12" s="30"/>
      <x:c r="K12" s="30"/>
    </x:row>
    <x:row r="13">
      <x:c r="A13" s="30" t="str">
        <x:v>Qualidade</x:v>
      </x:c>
      <x:c r="B13" s="30" t="str">
        <x:v>B - MVP Completo</x:v>
      </x:c>
      <x:c r="C13" s="30" t="str">
        <x:v>Arquitetura + QA</x:v>
      </x:c>
      <x:c r="D13" s="30" t="str">
        <x:v>Arquitetura/QA</x:v>
      </x:c>
      <x:c r="E13" s="30" t="n">
        <x:v>22</x:v>
      </x:c>
      <x:c r="F13" s="30" t="str">
        <x:v>h</x:v>
      </x:c>
      <x:c r="G13" s="74" t="n">
        <x:f>IF(D13="Comercial/Account",Config!$B$12,IF(D13="Dev Frontend/Produto",Config!$B$13,IF(D13="Dev Backend/Infra",Config!$B$14,IF(D13="Arquitetura/QA",Config!$B$15,IF(D13="Gestão/PM",Config!$B$16,0)))))</x:f>
        <x:v>110</x:v>
      </x:c>
      <x:c r="H13" s="74" t="n">
        <x:f>E13*G13</x:f>
        <x:v>2420</x:v>
      </x:c>
      <x:c r="I13" s="30" t="str">
        <x:v>Mais risco técnico</x:v>
      </x:c>
      <x:c r="J13" s="30"/>
      <x:c r="K13" s="30"/>
    </x:row>
    <x:row r="14">
      <x:c r="A14" s="30" t="str">
        <x:v>Gestão</x:v>
      </x:c>
      <x:c r="B14" s="30" t="str">
        <x:v>B - MVP Completo</x:v>
      </x:c>
      <x:c r="C14" s="30" t="str">
        <x:v>PM / coordenação</x:v>
      </x:c>
      <x:c r="D14" s="30" t="str">
        <x:v>Gestão/PM</x:v>
      </x:c>
      <x:c r="E14" s="30" t="n">
        <x:v>20</x:v>
      </x:c>
      <x:c r="F14" s="30" t="str">
        <x:v>h</x:v>
      </x:c>
      <x:c r="G14" s="74" t="n">
        <x:f>IF(D14="Comercial/Account",Config!$B$12,IF(D14="Dev Frontend/Produto",Config!$B$13,IF(D14="Dev Backend/Infra",Config!$B$14,IF(D14="Arquitetura/QA",Config!$B$15,IF(D14="Gestão/PM",Config!$B$16,0)))))</x:f>
        <x:v>80</x:v>
      </x:c>
      <x:c r="H14" s="74" t="n">
        <x:f>E14*G14</x:f>
        <x:v>1600</x:v>
      </x:c>
      <x:c r="I14" s="30" t="str">
        <x:v>2-3 meses de acompanhamento</x:v>
      </x:c>
      <x:c r="J14" s="30"/>
      <x:c r="K14" s="30"/>
    </x:row>
    <x:row r="15">
      <x:c r="A15" s="30" t="str">
        <x:v>Comercial</x:v>
      </x:c>
      <x:c r="B15" s="30" t="str">
        <x:v>B - MVP Completo</x:v>
      </x:c>
      <x:c r="C15" s="30" t="str">
        <x:v>Venda + acompanhamento</x:v>
      </x:c>
      <x:c r="D15" s="30" t="str">
        <x:v>Comercial/Account</x:v>
      </x:c>
      <x:c r="E15" s="30" t="n">
        <x:v>8</x:v>
      </x:c>
      <x:c r="F15" s="30" t="str">
        <x:v>h</x:v>
      </x:c>
      <x:c r="G15" s="74" t="n">
        <x:f>IF(D15="Comercial/Account",Config!$B$12,IF(D15="Dev Frontend/Produto",Config!$B$13,IF(D15="Dev Backend/Infra",Config!$B$14,IF(D15="Arquitetura/QA",Config!$B$15,IF(D15="Gestão/PM",Config!$B$16,0)))))</x:f>
        <x:v>60</x:v>
      </x:c>
      <x:c r="H15" s="74" t="n">
        <x:f>E15*G15</x:f>
        <x:v>480</x:v>
      </x:c>
      <x:c r="I15" s="30" t="str">
        <x:v>Negociação e conta</x:v>
      </x:c>
      <x:c r="J15" s="30"/>
      <x:c r="K15" s="30"/>
    </x:row>
    <x:row r="16">
      <x:c r="A16" s="30" t="str">
        <x:v>Custom</x:v>
      </x:c>
      <x:c r="B16" s="30" t="str">
        <x:v>C - Evolução / Add-on</x:v>
      </x:c>
      <x:c r="C16" s="30" t="str">
        <x:v>Feature adicional</x:v>
      </x:c>
      <x:c r="D16" s="30" t="str">
        <x:v>Definir</x:v>
      </x:c>
      <x:c r="E16" s="30" t="n">
        <x:v>40</x:v>
      </x:c>
      <x:c r="F16" s="30" t="str">
        <x:v>h</x:v>
      </x:c>
      <x:c r="G16" s="74" t="n">
        <x:f>IF(D16="Comercial/Account",Config!$B$12,IF(D16="Dev Frontend/Produto",Config!$B$13,IF(D16="Dev Backend/Infra",Config!$B$14,IF(D16="Arquitetura/QA",Config!$B$15,IF(D16="Gestão/PM",Config!$B$16,0)))))</x:f>
        <x:v>0</x:v>
      </x:c>
      <x:c r="H16" s="74" t="n">
        <x:f>E16*G16</x:f>
        <x:v>0</x:v>
      </x:c>
      <x:c r="I16" s="30" t="str">
        <x:v>Editar conforme escopo</x:v>
      </x:c>
      <x:c r="J16" s="30"/>
      <x:c r="K16" s="30"/>
    </x:row>
    <x:row r="17">
      <x:c r="A17" s="30" t="str">
        <x:v>Custom</x:v>
      </x:c>
      <x:c r="B17" s="30" t="str">
        <x:v>D - Custom</x:v>
      </x:c>
      <x:c r="C17" s="30" t="str">
        <x:v>Linha livre</x:v>
      </x:c>
      <x:c r="D17" s="30" t="str">
        <x:v>Definir</x:v>
      </x:c>
      <x:c r="E17" s="30" t="n">
        <x:v>0</x:v>
      </x:c>
      <x:c r="F17" s="30" t="str">
        <x:v>h</x:v>
      </x:c>
      <x:c r="G17" s="74" t="n">
        <x:f>IF(D17="Comercial/Account",Config!$B$12,IF(D17="Dev Frontend/Produto",Config!$B$13,IF(D17="Dev Backend/Infra",Config!$B$14,IF(D17="Arquitetura/QA",Config!$B$15,IF(D17="Gestão/PM",Config!$B$16,0)))))</x:f>
        <x:v>0</x:v>
      </x:c>
      <x:c r="H17" s="74" t="n">
        <x:f>E17*G17</x:f>
        <x:v>0</x:v>
      </x:c>
      <x:c r="I17" s="30" t="str">
        <x:v>Duplicar para novo projeto</x:v>
      </x:c>
      <x:c r="J17" s="30"/>
      <x:c r="K17" s="30"/>
    </x:row>
    <x:row r="18">
      <x:c r="A18" s="30"/>
      <x:c r="B18" s="30"/>
      <x:c r="C18" s="30"/>
      <x:c r="D18" s="30"/>
      <x:c r="E18" s="30"/>
      <x:c r="F18" s="30"/>
      <x:c r="G18" s="74" t="n">
        <x:f>IF(D18="Comercial/Account",Config!$B$12,IF(D18="Dev Frontend/Produto",Config!$B$13,IF(D18="Dev Backend/Infra",Config!$B$14,IF(D18="Arquitetura/QA",Config!$B$15,IF(D18="Gestão/PM",Config!$B$16,0)))))</x:f>
        <x:v>0</x:v>
      </x:c>
      <x:c r="H18" s="74" t="n">
        <x:f>E18*G18</x:f>
        <x:v>0</x:v>
      </x:c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</x:row>
    <x:row r="20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</x:row>
    <x:row r="202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</x:row>
    <x:row r="203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</x:row>
    <x:row r="204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</x:row>
    <x:row r="205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</x:row>
    <x:row r="206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</x:row>
    <x:row r="207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</x:row>
    <x:row r="208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</x:row>
    <x:row r="209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</x:row>
    <x:row r="210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</x:row>
    <x:row r="21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</x:row>
    <x:row r="212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</x:row>
    <x:row r="213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</x:row>
    <x:row r="214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</x:row>
    <x:row r="215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</x:row>
    <x:row r="216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</x:row>
    <x:row r="217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</x:row>
    <x:row r="218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</x:row>
    <x:row r="219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</x:row>
    <x:row r="220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</x:row>
  </x:sheetData>
  <x:mergeCells>
    <x:mergeCell ref="A1:I1"/>
    <x:mergeCell ref="A2:I2"/>
  </x:mergeCells>
  <x:dataValidations count="2">
    <x:dataValidation type="list" sqref="B5:B18">
      <x:formula1>Listas!$A$5:$A$8</x:formula1>
    </x:dataValidation>
    <x:dataValidation type="list" sqref="D5:D18">
      <x:formula1>Listas!$J$5:$J$11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3a685ee850404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24" hidden="0" customWidth="1"/>
    <x:col min="4" max="4" width="12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52" hidden="0" customWidth="1"/>
  </x:cols>
  <x:sheetData>
    <x:row r="1" ht="30" customHeight="1">
      <x:c r="A1" s="68" t="str">
        <x:v>PERCENTUAIS DE REMUNERAÇÃO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30"/>
    </x:row>
    <x:row r="2" ht="24" customHeight="1">
      <x:c r="A2" s="69" t="str">
        <x:v>Edite por modelo: quem recebe sobre setup, recorrência e/ou pool líquido</x:v>
      </x:c>
      <x:c r="B2" s="69"/>
      <x:c r="C2" s="69"/>
      <x:c r="D2" s="69"/>
      <x:c r="E2" s="69"/>
      <x:c r="F2" s="69"/>
      <x:c r="G2" s="69"/>
      <x:c r="H2" s="69"/>
      <x:c r="I2" s="69"/>
      <x:c r="J2" s="69"/>
      <x:c r="K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 ht="26" customHeight="1">
      <x:c r="A4" s="26" t="str">
        <x:v>Modelo comercial</x:v>
      </x:c>
      <x:c r="B4" s="26" t="str">
        <x:v>Pessoa/Empresa</x:v>
      </x:c>
      <x:c r="C4" s="26" t="str">
        <x:v>Papel</x:v>
      </x:c>
      <x:c r="D4" s="26" t="str">
        <x:v>% Setup</x:v>
      </x:c>
      <x:c r="E4" s="26" t="str">
        <x:v>Valor Setup</x:v>
      </x:c>
      <x:c r="F4" s="26" t="str">
        <x:v>% Recorrência</x:v>
      </x:c>
      <x:c r="G4" s="26" t="str">
        <x:v>Valor Recorrência</x:v>
      </x:c>
      <x:c r="H4" s="26" t="str">
        <x:v>% Pool Líquido</x:v>
      </x:c>
      <x:c r="I4" s="26" t="str">
        <x:v>Valor Pool</x:v>
      </x:c>
      <x:c r="J4" s="26" t="str">
        <x:v>Observação</x:v>
      </x:c>
      <x:c r="K4" s="30"/>
    </x:row>
    <x:row r="5">
      <x:c r="A5" s="30" t="str">
        <x:v>Opção 1 - Setup + Recorrência</x:v>
      </x:c>
      <x:c r="B5" s="30" t="str">
        <x:v>UzzAI Empresa</x:v>
      </x:c>
      <x:c r="C5" s="30" t="str">
        <x:v>UzzAI Empresa</x:v>
      </x:c>
      <x:c r="D5" s="77" t="n">
        <x:v>0.2</x:v>
      </x:c>
      <x:c r="E5" s="74" t="n">
        <x:f>IF($A5=Dashboard!$B$8,Dashboard!$E$11*$D5,0)</x:f>
        <x:v>0</x:v>
      </x:c>
      <x:c r="F5" s="77" t="n">
        <x:v>0.35</x:v>
      </x:c>
      <x:c r="G5" s="74" t="n">
        <x:f>IF($A5=Dashboard!$B$8,Dashboard!$E$8*Dashboard!$E$9*$F5,0)</x:f>
        <x:v>0</x:v>
      </x:c>
      <x:c r="H5" s="77" t="n">
        <x:v>0.25</x:v>
      </x:c>
      <x:c r="I5" s="74" t="n">
        <x:f>IF($A5=Dashboard!$B$8,Dashboard!$G$13*$H5,0)</x:f>
        <x:v>0</x:v>
      </x:c>
      <x:c r="J5" s="30" t="str">
        <x:v>Caixa, operação, jurídico, impostos não alocados</x:v>
      </x:c>
      <x:c r="K5" s="30"/>
    </x:row>
    <x:row r="6">
      <x:c r="A6" s="30" t="str">
        <x:v>Opção 1 - Setup + Recorrência</x:v>
      </x:c>
      <x:c r="B6" s="30" t="str">
        <x:v>Pessoa Comercial</x:v>
      </x:c>
      <x:c r="C6" s="30" t="str">
        <x:v>Comercial/Account</x:v>
      </x:c>
      <x:c r="D6" s="77" t="n">
        <x:v>0.1</x:v>
      </x:c>
      <x:c r="E6" s="74" t="n">
        <x:f>IF($A6=Dashboard!$B$8,Dashboard!$E$11*$D6,0)</x:f>
        <x:v>0</x:v>
      </x:c>
      <x:c r="F6" s="77" t="n">
        <x:v>0.08</x:v>
      </x:c>
      <x:c r="G6" s="74" t="n">
        <x:f>IF($A6=Dashboard!$B$8,Dashboard!$E$8*Dashboard!$E$9*$F6,0)</x:f>
        <x:v>0</x:v>
      </x:c>
      <x:c r="H6" s="77" t="n">
        <x:v>0.1</x:v>
      </x:c>
      <x:c r="I6" s="74" t="n">
        <x:f>IF($A6=Dashboard!$B$8,Dashboard!$G$13*$H6,0)</x:f>
        <x:v>0</x:v>
      </x:c>
      <x:c r="J6" s="30" t="str">
        <x:v>Venda, relacionamento, acompanhamento e expansão</x:v>
      </x:c>
      <x:c r="K6" s="30"/>
    </x:row>
    <x:row r="7">
      <x:c r="A7" s="30" t="str">
        <x:v>Opção 1 - Setup + Recorrência</x:v>
      </x:c>
      <x:c r="B7" s="30" t="str">
        <x:v>Pessoa Frontend</x:v>
      </x:c>
      <x:c r="C7" s="30" t="str">
        <x:v>Dev Frontend/Produto</x:v>
      </x:c>
      <x:c r="D7" s="77" t="n">
        <x:v>0.2</x:v>
      </x:c>
      <x:c r="E7" s="74" t="n">
        <x:f>IF($A7=Dashboard!$B$8,Dashboard!$E$11*$D7,0)</x:f>
        <x:v>0</x:v>
      </x:c>
      <x:c r="F7" s="77" t="n">
        <x:v>0.04</x:v>
      </x:c>
      <x:c r="G7" s="74" t="n">
        <x:f>IF($A7=Dashboard!$B$8,Dashboard!$E$8*Dashboard!$E$9*$F7,0)</x:f>
        <x:v>0</x:v>
      </x:c>
      <x:c r="H7" s="77" t="n">
        <x:v>0.18</x:v>
      </x:c>
      <x:c r="I7" s="74" t="n">
        <x:f>IF($A7=Dashboard!$B$8,Dashboard!$G$13*$H7,0)</x:f>
        <x:v>0</x:v>
      </x:c>
      <x:c r="J7" s="30" t="str">
        <x:v>Produto, UX, front, telas e experiência</x:v>
      </x:c>
      <x:c r="K7" s="30"/>
    </x:row>
    <x:row r="8">
      <x:c r="A8" s="30" t="str">
        <x:v>Opção 1 - Setup + Recorrência</x:v>
      </x:c>
      <x:c r="B8" s="30" t="str">
        <x:v>Pessoa Backend</x:v>
      </x:c>
      <x:c r="C8" s="30" t="str">
        <x:v>Dev Backend/Infra</x:v>
      </x:c>
      <x:c r="D8" s="77" t="n">
        <x:v>0.2</x:v>
      </x:c>
      <x:c r="E8" s="74" t="n">
        <x:f>IF($A8=Dashboard!$B$8,Dashboard!$E$11*$D8,0)</x:f>
        <x:v>0</x:v>
      </x:c>
      <x:c r="F8" s="77" t="n">
        <x:v>0.06</x:v>
      </x:c>
      <x:c r="G8" s="74" t="n">
        <x:f>IF($A8=Dashboard!$B$8,Dashboard!$E$8*Dashboard!$E$9*$F8,0)</x:f>
        <x:v>0</x:v>
      </x:c>
      <x:c r="H8" s="77" t="n">
        <x:v>0.18</x:v>
      </x:c>
      <x:c r="I8" s="74" t="n">
        <x:f>IF($A8=Dashboard!$B$8,Dashboard!$G$13*$H8,0)</x:f>
        <x:v>0</x:v>
      </x:c>
      <x:c r="J8" s="30" t="str">
        <x:v>Infra, banco, APIs, integrações e deploy</x:v>
      </x:c>
      <x:c r="K8" s="30"/>
    </x:row>
    <x:row r="9">
      <x:c r="A9" s="30" t="str">
        <x:v>Opção 1 - Setup + Recorrência</x:v>
      </x:c>
      <x:c r="B9" s="30" t="str">
        <x:v>Pessoa Arquiteta/QA</x:v>
      </x:c>
      <x:c r="C9" s="30" t="str">
        <x:v>Arquitetura/QA</x:v>
      </x:c>
      <x:c r="D9" s="77" t="n">
        <x:v>0.1</x:v>
      </x:c>
      <x:c r="E9" s="74" t="n">
        <x:f>IF($A9=Dashboard!$B$8,Dashboard!$E$11*$D9,0)</x:f>
        <x:v>0</x:v>
      </x:c>
      <x:c r="F9" s="77" t="n">
        <x:v>0.02</x:v>
      </x:c>
      <x:c r="G9" s="74" t="n">
        <x:f>IF($A9=Dashboard!$B$8,Dashboard!$E$8*Dashboard!$E$9*$F9,0)</x:f>
        <x:v>0</x:v>
      </x:c>
      <x:c r="H9" s="77" t="n">
        <x:v>0.1</x:v>
      </x:c>
      <x:c r="I9" s="74" t="n">
        <x:f>IF($A9=Dashboard!$B$8,Dashboard!$G$13*$H9,0)</x:f>
        <x:v>0</x:v>
      </x:c>
      <x:c r="J9" s="30" t="str">
        <x:v>Arquitetura, qualidade, segurança e revisão</x:v>
      </x:c>
      <x:c r="K9" s="30"/>
    </x:row>
    <x:row r="10">
      <x:c r="A10" s="30" t="str">
        <x:v>Opção 1 - Setup + Recorrência</x:v>
      </x:c>
      <x:c r="B10" s="30" t="str">
        <x:v>Pessoa Gestão/PM</x:v>
      </x:c>
      <x:c r="C10" s="30" t="str">
        <x:v>Gestão/PM</x:v>
      </x:c>
      <x:c r="D10" s="77" t="n">
        <x:v>0.08</x:v>
      </x:c>
      <x:c r="E10" s="74" t="n">
        <x:f>IF($A10=Dashboard!$B$8,Dashboard!$E$11*$D10,0)</x:f>
        <x:v>0</x:v>
      </x:c>
      <x:c r="F10" s="77" t="n">
        <x:v>0.05</x:v>
      </x:c>
      <x:c r="G10" s="74" t="n">
        <x:f>IF($A10=Dashboard!$B$8,Dashboard!$E$8*Dashboard!$E$9*$F10,0)</x:f>
        <x:v>0</x:v>
      </x:c>
      <x:c r="H10" s="77" t="n">
        <x:v>0.08</x:v>
      </x:c>
      <x:c r="I10" s="74" t="n">
        <x:f>IF($A10=Dashboard!$B$8,Dashboard!$G$13*$H10,0)</x:f>
        <x:v>0</x:v>
      </x:c>
      <x:c r="J10" s="30" t="str">
        <x:v>Gestão, operação, alinhamentos e cliente</x:v>
      </x:c>
      <x:c r="K10" s="30"/>
    </x:row>
    <x:row r="11">
      <x:c r="A11" s="30" t="str">
        <x:v>Opção 1 - Setup + Recorrência</x:v>
      </x:c>
      <x:c r="B11" s="30" t="str">
        <x:v>Reserva Produto</x:v>
      </x:c>
      <x:c r="C11" s="30" t="str">
        <x:v>Reserva/Produto</x:v>
      </x:c>
      <x:c r="D11" s="77" t="n">
        <x:v>0.12</x:v>
      </x:c>
      <x:c r="E11" s="74" t="n">
        <x:f>IF($A11=Dashboard!$B$8,Dashboard!$E$11*$D11,0)</x:f>
        <x:v>0</x:v>
      </x:c>
      <x:c r="F11" s="77" t="n">
        <x:v>0.4</x:v>
      </x:c>
      <x:c r="G11" s="74" t="n">
        <x:f>IF($A11=Dashboard!$B$8,Dashboard!$E$8*Dashboard!$E$9*$F11,0)</x:f>
        <x:v>0</x:v>
      </x:c>
      <x:c r="H11" s="77" t="n">
        <x:v>0.11</x:v>
      </x:c>
      <x:c r="I11" s="74" t="n">
        <x:f>IF($A11=Dashboard!$B$8,Dashboard!$G$13*$H11,0)</x:f>
        <x:v>0</x:v>
      </x:c>
      <x:c r="J11" s="30" t="str">
        <x:v>Reserva para evolução, risco, inadimplência e produto</x:v>
      </x:c>
      <x:c r="K11" s="30"/>
    </x:row>
    <x:row r="12">
      <x:c r="A12" s="30" t="str">
        <x:v>Opção 2 - Recorrência 36m</x:v>
      </x:c>
      <x:c r="B12" s="30" t="str">
        <x:v>UzzAI Empresa</x:v>
      </x:c>
      <x:c r="C12" s="30" t="str">
        <x:v>UzzAI Empresa</x:v>
      </x:c>
      <x:c r="D12" s="77" t="n">
        <x:v>0.15</x:v>
      </x:c>
      <x:c r="E12" s="74" t="n">
        <x:f>IF($A12=Dashboard!$B$8,Dashboard!$E$11*$D12,0)</x:f>
        <x:v>0</x:v>
      </x:c>
      <x:c r="F12" s="77" t="n">
        <x:v>0.42</x:v>
      </x:c>
      <x:c r="G12" s="74" t="n">
        <x:f>IF($A12=Dashboard!$B$8,Dashboard!$E$8*Dashboard!$E$9*$F12,0)</x:f>
        <x:v>0</x:v>
      </x:c>
      <x:c r="H12" s="77" t="n">
        <x:v>0.3</x:v>
      </x:c>
      <x:c r="I12" s="74" t="n">
        <x:f>IF($A12=Dashboard!$B$8,Dashboard!$G$13*$H12,0)</x:f>
        <x:v>0</x:v>
      </x:c>
      <x:c r="J12" s="30" t="str">
        <x:v>Caixa, operação, jurídico, impostos não alocados</x:v>
      </x:c>
      <x:c r="K12" s="30"/>
    </x:row>
    <x:row r="13">
      <x:c r="A13" s="30" t="str">
        <x:v>Opção 2 - Recorrência 36m</x:v>
      </x:c>
      <x:c r="B13" s="30" t="str">
        <x:v>Pessoa Comercial</x:v>
      </x:c>
      <x:c r="C13" s="30" t="str">
        <x:v>Comercial/Account</x:v>
      </x:c>
      <x:c r="D13" s="77" t="n">
        <x:v>0.1</x:v>
      </x:c>
      <x:c r="E13" s="74" t="n">
        <x:f>IF($A13=Dashboard!$B$8,Dashboard!$E$11*$D13,0)</x:f>
        <x:v>0</x:v>
      </x:c>
      <x:c r="F13" s="77" t="n">
        <x:v>0.08</x:v>
      </x:c>
      <x:c r="G13" s="74" t="n">
        <x:f>IF($A13=Dashboard!$B$8,Dashboard!$E$8*Dashboard!$E$9*$F13,0)</x:f>
        <x:v>0</x:v>
      </x:c>
      <x:c r="H13" s="77" t="n">
        <x:v>0.1</x:v>
      </x:c>
      <x:c r="I13" s="74" t="n">
        <x:f>IF($A13=Dashboard!$B$8,Dashboard!$G$13*$H13,0)</x:f>
        <x:v>0</x:v>
      </x:c>
      <x:c r="J13" s="30" t="str">
        <x:v>Venda, relacionamento, acompanhamento e expansão</x:v>
      </x:c>
      <x:c r="K13" s="30"/>
    </x:row>
    <x:row r="14">
      <x:c r="A14" s="30" t="str">
        <x:v>Opção 2 - Recorrência 36m</x:v>
      </x:c>
      <x:c r="B14" s="30" t="str">
        <x:v>Pessoa Frontend</x:v>
      </x:c>
      <x:c r="C14" s="30" t="str">
        <x:v>Dev Frontend/Produto</x:v>
      </x:c>
      <x:c r="D14" s="77" t="n">
        <x:v>0.18</x:v>
      </x:c>
      <x:c r="E14" s="74" t="n">
        <x:f>IF($A14=Dashboard!$B$8,Dashboard!$E$11*$D14,0)</x:f>
        <x:v>0</x:v>
      </x:c>
      <x:c r="F14" s="77" t="n">
        <x:v>0.03</x:v>
      </x:c>
      <x:c r="G14" s="74" t="n">
        <x:f>IF($A14=Dashboard!$B$8,Dashboard!$E$8*Dashboard!$E$9*$F14,0)</x:f>
        <x:v>0</x:v>
      </x:c>
      <x:c r="H14" s="77" t="n">
        <x:v>0.15</x:v>
      </x:c>
      <x:c r="I14" s="74" t="n">
        <x:f>IF($A14=Dashboard!$B$8,Dashboard!$G$13*$H14,0)</x:f>
        <x:v>0</x:v>
      </x:c>
      <x:c r="J14" s="30" t="str">
        <x:v>Produto, UX, front, telas e experiência</x:v>
      </x:c>
      <x:c r="K14" s="30"/>
    </x:row>
    <x:row r="15">
      <x:c r="A15" s="30" t="str">
        <x:v>Opção 2 - Recorrência 36m</x:v>
      </x:c>
      <x:c r="B15" s="30" t="str">
        <x:v>Pessoa Backend</x:v>
      </x:c>
      <x:c r="C15" s="30" t="str">
        <x:v>Dev Backend/Infra</x:v>
      </x:c>
      <x:c r="D15" s="77" t="n">
        <x:v>0.18</x:v>
      </x:c>
      <x:c r="E15" s="74" t="n">
        <x:f>IF($A15=Dashboard!$B$8,Dashboard!$E$11*$D15,0)</x:f>
        <x:v>0</x:v>
      </x:c>
      <x:c r="F15" s="77" t="n">
        <x:v>0.05</x:v>
      </x:c>
      <x:c r="G15" s="74" t="n">
        <x:f>IF($A15=Dashboard!$B$8,Dashboard!$E$8*Dashboard!$E$9*$F15,0)</x:f>
        <x:v>0</x:v>
      </x:c>
      <x:c r="H15" s="77" t="n">
        <x:v>0.15</x:v>
      </x:c>
      <x:c r="I15" s="74" t="n">
        <x:f>IF($A15=Dashboard!$B$8,Dashboard!$G$13*$H15,0)</x:f>
        <x:v>0</x:v>
      </x:c>
      <x:c r="J15" s="30" t="str">
        <x:v>Infra, banco, APIs, integrações e deploy</x:v>
      </x:c>
      <x:c r="K15" s="30"/>
    </x:row>
    <x:row r="16">
      <x:c r="A16" s="30" t="str">
        <x:v>Opção 2 - Recorrência 36m</x:v>
      </x:c>
      <x:c r="B16" s="30" t="str">
        <x:v>Pessoa Arquiteta/QA</x:v>
      </x:c>
      <x:c r="C16" s="30" t="str">
        <x:v>Arquitetura/QA</x:v>
      </x:c>
      <x:c r="D16" s="77" t="n">
        <x:v>0.08</x:v>
      </x:c>
      <x:c r="E16" s="74" t="n">
        <x:f>IF($A16=Dashboard!$B$8,Dashboard!$E$11*$D16,0)</x:f>
        <x:v>0</x:v>
      </x:c>
      <x:c r="F16" s="77" t="n">
        <x:v>0.02</x:v>
      </x:c>
      <x:c r="G16" s="74" t="n">
        <x:f>IF($A16=Dashboard!$B$8,Dashboard!$E$8*Dashboard!$E$9*$F16,0)</x:f>
        <x:v>0</x:v>
      </x:c>
      <x:c r="H16" s="77" t="n">
        <x:v>0.08</x:v>
      </x:c>
      <x:c r="I16" s="74" t="n">
        <x:f>IF($A16=Dashboard!$B$8,Dashboard!$G$13*$H16,0)</x:f>
        <x:v>0</x:v>
      </x:c>
      <x:c r="J16" s="30" t="str">
        <x:v>Arquitetura, qualidade, segurança e revisão</x:v>
      </x:c>
      <x:c r="K16" s="30"/>
    </x:row>
    <x:row r="17">
      <x:c r="A17" s="30" t="str">
        <x:v>Opção 2 - Recorrência 36m</x:v>
      </x:c>
      <x:c r="B17" s="30" t="str">
        <x:v>Pessoa Gestão/PM</x:v>
      </x:c>
      <x:c r="C17" s="30" t="str">
        <x:v>Gestão/PM</x:v>
      </x:c>
      <x:c r="D17" s="77" t="n">
        <x:v>0.06</x:v>
      </x:c>
      <x:c r="E17" s="74" t="n">
        <x:f>IF($A17=Dashboard!$B$8,Dashboard!$E$11*$D17,0)</x:f>
        <x:v>0</x:v>
      </x:c>
      <x:c r="F17" s="77" t="n">
        <x:v>0.04</x:v>
      </x:c>
      <x:c r="G17" s="74" t="n">
        <x:f>IF($A17=Dashboard!$B$8,Dashboard!$E$8*Dashboard!$E$9*$F17,0)</x:f>
        <x:v>0</x:v>
      </x:c>
      <x:c r="H17" s="77" t="n">
        <x:v>0.07</x:v>
      </x:c>
      <x:c r="I17" s="74" t="n">
        <x:f>IF($A17=Dashboard!$B$8,Dashboard!$G$13*$H17,0)</x:f>
        <x:v>0</x:v>
      </x:c>
      <x:c r="J17" s="30" t="str">
        <x:v>Gestão, operação, alinhamentos e cliente</x:v>
      </x:c>
      <x:c r="K17" s="30"/>
    </x:row>
    <x:row r="18">
      <x:c r="A18" s="30" t="str">
        <x:v>Opção 2 - Recorrência 36m</x:v>
      </x:c>
      <x:c r="B18" s="30" t="str">
        <x:v>Reserva Produto</x:v>
      </x:c>
      <x:c r="C18" s="30" t="str">
        <x:v>Reserva/Produto</x:v>
      </x:c>
      <x:c r="D18" s="77" t="n">
        <x:v>0.25</x:v>
      </x:c>
      <x:c r="E18" s="74" t="n">
        <x:f>IF($A18=Dashboard!$B$8,Dashboard!$E$11*$D18,0)</x:f>
        <x:v>0</x:v>
      </x:c>
      <x:c r="F18" s="77" t="n">
        <x:v>0.36</x:v>
      </x:c>
      <x:c r="G18" s="74" t="n">
        <x:f>IF($A18=Dashboard!$B$8,Dashboard!$E$8*Dashboard!$E$9*$F18,0)</x:f>
        <x:v>0</x:v>
      </x:c>
      <x:c r="H18" s="77" t="n">
        <x:v>0.15</x:v>
      </x:c>
      <x:c r="I18" s="74" t="n">
        <x:f>IF($A18=Dashboard!$B$8,Dashboard!$G$13*$H18,0)</x:f>
        <x:v>0</x:v>
      </x:c>
      <x:c r="J18" s="30" t="str">
        <x:v>Reserva para evolução, risco, inadimplência e produto</x:v>
      </x:c>
      <x:c r="K18" s="30"/>
    </x:row>
    <x:row r="19">
      <x:c r="A19" s="30" t="str">
        <x:v>Opção 3 - Setup Único</x:v>
      </x:c>
      <x:c r="B19" s="30" t="str">
        <x:v>UzzAI Empresa</x:v>
      </x:c>
      <x:c r="C19" s="30" t="str">
        <x:v>UzzAI Empresa</x:v>
      </x:c>
      <x:c r="D19" s="77" t="n">
        <x:v>0.25</x:v>
      </x:c>
      <x:c r="E19" s="74" t="n">
        <x:f>IF($A19=Dashboard!$B$8,Dashboard!$E$11*$D19,0)</x:f>
        <x:v>0</x:v>
      </x:c>
      <x:c r="F19" s="77" t="n">
        <x:v>0</x:v>
      </x:c>
      <x:c r="G19" s="74" t="n">
        <x:f>IF($A19=Dashboard!$B$8,Dashboard!$E$8*Dashboard!$E$9*$F19,0)</x:f>
        <x:v>0</x:v>
      </x:c>
      <x:c r="H19" s="77" t="n">
        <x:v>0.25</x:v>
      </x:c>
      <x:c r="I19" s="74" t="n">
        <x:f>IF($A19=Dashboard!$B$8,Dashboard!$G$13*$H19,0)</x:f>
        <x:v>0</x:v>
      </x:c>
      <x:c r="J19" s="30" t="str">
        <x:v>Caixa, operação, jurídico, impostos não alocados</x:v>
      </x:c>
      <x:c r="K19" s="30"/>
    </x:row>
    <x:row r="20">
      <x:c r="A20" s="30" t="str">
        <x:v>Opção 3 - Setup Único</x:v>
      </x:c>
      <x:c r="B20" s="30" t="str">
        <x:v>Pessoa Comercial</x:v>
      </x:c>
      <x:c r="C20" s="30" t="str">
        <x:v>Comercial/Account</x:v>
      </x:c>
      <x:c r="D20" s="77" t="n">
        <x:v>0.08</x:v>
      </x:c>
      <x:c r="E20" s="74" t="n">
        <x:f>IF($A20=Dashboard!$B$8,Dashboard!$E$11*$D20,0)</x:f>
        <x:v>0</x:v>
      </x:c>
      <x:c r="F20" s="77" t="n">
        <x:v>0</x:v>
      </x:c>
      <x:c r="G20" s="74" t="n">
        <x:f>IF($A20=Dashboard!$B$8,Dashboard!$E$8*Dashboard!$E$9*$F20,0)</x:f>
        <x:v>0</x:v>
      </x:c>
      <x:c r="H20" s="77" t="n">
        <x:v>0.08</x:v>
      </x:c>
      <x:c r="I20" s="74" t="n">
        <x:f>IF($A20=Dashboard!$B$8,Dashboard!$G$13*$H20,0)</x:f>
        <x:v>0</x:v>
      </x:c>
      <x:c r="J20" s="30" t="str">
        <x:v>Venda, relacionamento, acompanhamento e expansão</x:v>
      </x:c>
      <x:c r="K20" s="30"/>
    </x:row>
    <x:row r="21">
      <x:c r="A21" s="30" t="str">
        <x:v>Opção 3 - Setup Único</x:v>
      </x:c>
      <x:c r="B21" s="30" t="str">
        <x:v>Pessoa Frontend</x:v>
      </x:c>
      <x:c r="C21" s="30" t="str">
        <x:v>Dev Frontend/Produto</x:v>
      </x:c>
      <x:c r="D21" s="77" t="n">
        <x:v>0.22</x:v>
      </x:c>
      <x:c r="E21" s="74" t="n">
        <x:f>IF($A21=Dashboard!$B$8,Dashboard!$E$11*$D21,0)</x:f>
        <x:v>0</x:v>
      </x:c>
      <x:c r="F21" s="77" t="n">
        <x:v>0</x:v>
      </x:c>
      <x:c r="G21" s="74" t="n">
        <x:f>IF($A21=Dashboard!$B$8,Dashboard!$E$8*Dashboard!$E$9*$F21,0)</x:f>
        <x:v>0</x:v>
      </x:c>
      <x:c r="H21" s="77" t="n">
        <x:v>0.22</x:v>
      </x:c>
      <x:c r="I21" s="74" t="n">
        <x:f>IF($A21=Dashboard!$B$8,Dashboard!$G$13*$H21,0)</x:f>
        <x:v>0</x:v>
      </x:c>
      <x:c r="J21" s="30" t="str">
        <x:v>Produto, UX, front, telas e experiência</x:v>
      </x:c>
      <x:c r="K21" s="30"/>
    </x:row>
    <x:row r="22">
      <x:c r="A22" s="30" t="str">
        <x:v>Opção 3 - Setup Único</x:v>
      </x:c>
      <x:c r="B22" s="30" t="str">
        <x:v>Pessoa Backend</x:v>
      </x:c>
      <x:c r="C22" s="30" t="str">
        <x:v>Dev Backend/Infra</x:v>
      </x:c>
      <x:c r="D22" s="77" t="n">
        <x:v>0.22</x:v>
      </x:c>
      <x:c r="E22" s="74" t="n">
        <x:f>IF($A22=Dashboard!$B$8,Dashboard!$E$11*$D22,0)</x:f>
        <x:v>0</x:v>
      </x:c>
      <x:c r="F22" s="77" t="n">
        <x:v>0</x:v>
      </x:c>
      <x:c r="G22" s="74" t="n">
        <x:f>IF($A22=Dashboard!$B$8,Dashboard!$E$8*Dashboard!$E$9*$F22,0)</x:f>
        <x:v>0</x:v>
      </x:c>
      <x:c r="H22" s="77" t="n">
        <x:v>0.22</x:v>
      </x:c>
      <x:c r="I22" s="74" t="n">
        <x:f>IF($A22=Dashboard!$B$8,Dashboard!$G$13*$H22,0)</x:f>
        <x:v>0</x:v>
      </x:c>
      <x:c r="J22" s="30" t="str">
        <x:v>Infra, banco, APIs, integrações e deploy</x:v>
      </x:c>
      <x:c r="K22" s="30"/>
    </x:row>
    <x:row r="23">
      <x:c r="A23" s="30" t="str">
        <x:v>Opção 3 - Setup Único</x:v>
      </x:c>
      <x:c r="B23" s="30" t="str">
        <x:v>Pessoa Arquiteta/QA</x:v>
      </x:c>
      <x:c r="C23" s="30" t="str">
        <x:v>Arquitetura/QA</x:v>
      </x:c>
      <x:c r="D23" s="77" t="n">
        <x:v>0.1</x:v>
      </x:c>
      <x:c r="E23" s="74" t="n">
        <x:f>IF($A23=Dashboard!$B$8,Dashboard!$E$11*$D23,0)</x:f>
        <x:v>0</x:v>
      </x:c>
      <x:c r="F23" s="77" t="n">
        <x:v>0</x:v>
      </x:c>
      <x:c r="G23" s="74" t="n">
        <x:f>IF($A23=Dashboard!$B$8,Dashboard!$E$8*Dashboard!$E$9*$F23,0)</x:f>
        <x:v>0</x:v>
      </x:c>
      <x:c r="H23" s="77" t="n">
        <x:v>0.1</x:v>
      </x:c>
      <x:c r="I23" s="74" t="n">
        <x:f>IF($A23=Dashboard!$B$8,Dashboard!$G$13*$H23,0)</x:f>
        <x:v>0</x:v>
      </x:c>
      <x:c r="J23" s="30" t="str">
        <x:v>Arquitetura, qualidade, segurança e revisão</x:v>
      </x:c>
      <x:c r="K23" s="30"/>
    </x:row>
    <x:row r="24">
      <x:c r="A24" s="30" t="str">
        <x:v>Opção 3 - Setup Único</x:v>
      </x:c>
      <x:c r="B24" s="30" t="str">
        <x:v>Pessoa Gestão/PM</x:v>
      </x:c>
      <x:c r="C24" s="30" t="str">
        <x:v>Gestão/PM</x:v>
      </x:c>
      <x:c r="D24" s="77" t="n">
        <x:v>0.08</x:v>
      </x:c>
      <x:c r="E24" s="74" t="n">
        <x:f>IF($A24=Dashboard!$B$8,Dashboard!$E$11*$D24,0)</x:f>
        <x:v>0</x:v>
      </x:c>
      <x:c r="F24" s="77" t="n">
        <x:v>0</x:v>
      </x:c>
      <x:c r="G24" s="74" t="n">
        <x:f>IF($A24=Dashboard!$B$8,Dashboard!$E$8*Dashboard!$E$9*$F24,0)</x:f>
        <x:v>0</x:v>
      </x:c>
      <x:c r="H24" s="77" t="n">
        <x:v>0.08</x:v>
      </x:c>
      <x:c r="I24" s="74" t="n">
        <x:f>IF($A24=Dashboard!$B$8,Dashboard!$G$13*$H24,0)</x:f>
        <x:v>0</x:v>
      </x:c>
      <x:c r="J24" s="30" t="str">
        <x:v>Gestão, operação, alinhamentos e cliente</x:v>
      </x:c>
      <x:c r="K24" s="30"/>
    </x:row>
    <x:row r="25">
      <x:c r="A25" s="30" t="str">
        <x:v>Opção 3 - Setup Único</x:v>
      </x:c>
      <x:c r="B25" s="30" t="str">
        <x:v>Reserva Produto</x:v>
      </x:c>
      <x:c r="C25" s="30" t="str">
        <x:v>Reserva/Produto</x:v>
      </x:c>
      <x:c r="D25" s="77" t="n">
        <x:v>0.05</x:v>
      </x:c>
      <x:c r="E25" s="74" t="n">
        <x:f>IF($A25=Dashboard!$B$8,Dashboard!$E$11*$D25,0)</x:f>
        <x:v>0</x:v>
      </x:c>
      <x:c r="F25" s="77" t="n">
        <x:v>0</x:v>
      </x:c>
      <x:c r="G25" s="74" t="n">
        <x:f>IF($A25=Dashboard!$B$8,Dashboard!$E$8*Dashboard!$E$9*$F25,0)</x:f>
        <x:v>0</x:v>
      </x:c>
      <x:c r="H25" s="77" t="n">
        <x:v>0.05</x:v>
      </x:c>
      <x:c r="I25" s="74" t="n">
        <x:f>IF($A25=Dashboard!$B$8,Dashboard!$G$13*$H25,0)</x:f>
        <x:v>0</x:v>
      </x:c>
      <x:c r="J25" s="30" t="str">
        <x:v>Reserva para evolução, risco, inadimplência e produto</x:v>
      </x:c>
      <x:c r="K25" s="30"/>
    </x:row>
    <x:row r="26">
      <x:c r="A26" s="30" t="str">
        <x:v>Opção 4 - Híbrida</x:v>
      </x:c>
      <x:c r="B26" s="30" t="str">
        <x:v>UzzAI Empresa</x:v>
      </x:c>
      <x:c r="C26" s="30" t="str">
        <x:v>UzzAI Empresa</x:v>
      </x:c>
      <x:c r="D26" s="77" t="n">
        <x:v>0.15</x:v>
      </x:c>
      <x:c r="E26" s="74" t="n">
        <x:f>IF($A26=Dashboard!$B$8,Dashboard!$E$11*$D26,0)</x:f>
        <x:v>2520</x:v>
      </x:c>
      <x:c r="F26" s="77" t="n">
        <x:v>0.2</x:v>
      </x:c>
      <x:c r="G26" s="74" t="n">
        <x:f>IF($A26=Dashboard!$B$8,Dashboard!$E$8*Dashboard!$E$9*$F26,0)</x:f>
        <x:v>2160</x:v>
      </x:c>
      <x:c r="H26" s="77" t="n">
        <x:v>0.25</x:v>
      </x:c>
      <x:c r="I26" s="74" t="n">
        <x:f>IF($A26=Dashboard!$B$8,Dashboard!$G$13*$H26,0)</x:f>
        <x:v>0</x:v>
      </x:c>
      <x:c r="J26" s="30" t="str">
        <x:v>Caixa, operação, jurídico, impostos não alocados</x:v>
      </x:c>
      <x:c r="K26" s="30"/>
    </x:row>
    <x:row r="27">
      <x:c r="A27" s="30" t="str">
        <x:v>Opção 4 - Híbrida</x:v>
      </x:c>
      <x:c r="B27" s="30" t="str">
        <x:v>Pessoa Comercial</x:v>
      </x:c>
      <x:c r="C27" s="30" t="str">
        <x:v>Comercial/Account</x:v>
      </x:c>
      <x:c r="D27" s="77" t="n">
        <x:v>0.1</x:v>
      </x:c>
      <x:c r="E27" s="74" t="n">
        <x:f>IF($A27=Dashboard!$B$8,Dashboard!$E$11*$D27,0)</x:f>
        <x:v>1680</x:v>
      </x:c>
      <x:c r="F27" s="77" t="n">
        <x:v>0.1</x:v>
      </x:c>
      <x:c r="G27" s="74" t="n">
        <x:f>IF($A27=Dashboard!$B$8,Dashboard!$E$8*Dashboard!$E$9*$F27,0)</x:f>
        <x:v>1080</x:v>
      </x:c>
      <x:c r="H27" s="77" t="n">
        <x:v>0.1</x:v>
      </x:c>
      <x:c r="I27" s="74" t="n">
        <x:f>IF($A27=Dashboard!$B$8,Dashboard!$G$13*$H27,0)</x:f>
        <x:v>0</x:v>
      </x:c>
      <x:c r="J27" s="30" t="str">
        <x:v>Venda, relacionamento, acompanhamento e expansão</x:v>
      </x:c>
      <x:c r="K27" s="30"/>
    </x:row>
    <x:row r="28">
      <x:c r="A28" s="30" t="str">
        <x:v>Opção 4 - Híbrida</x:v>
      </x:c>
      <x:c r="B28" s="30" t="str">
        <x:v>Pessoa Frontend</x:v>
      </x:c>
      <x:c r="C28" s="30" t="str">
        <x:v>Dev Frontend/Produto</x:v>
      </x:c>
      <x:c r="D28" s="77" t="n">
        <x:v>0.22</x:v>
      </x:c>
      <x:c r="E28" s="74" t="n">
        <x:f>IF($A28=Dashboard!$B$8,Dashboard!$E$11*$D28,0)</x:f>
        <x:v>3696</x:v>
      </x:c>
      <x:c r="F28" s="77" t="n">
        <x:v>0.05</x:v>
      </x:c>
      <x:c r="G28" s="74" t="n">
        <x:f>IF($A28=Dashboard!$B$8,Dashboard!$E$8*Dashboard!$E$9*$F28,0)</x:f>
        <x:v>540</x:v>
      </x:c>
      <x:c r="H28" s="77" t="n">
        <x:v>0.2</x:v>
      </x:c>
      <x:c r="I28" s="74" t="n">
        <x:f>IF($A28=Dashboard!$B$8,Dashboard!$G$13*$H28,0)</x:f>
        <x:v>0</x:v>
      </x:c>
      <x:c r="J28" s="30" t="str">
        <x:v>Produto, UX, front, telas e experiência</x:v>
      </x:c>
      <x:c r="K28" s="30"/>
    </x:row>
    <x:row r="29">
      <x:c r="A29" s="30" t="str">
        <x:v>Opção 4 - Híbrida</x:v>
      </x:c>
      <x:c r="B29" s="30" t="str">
        <x:v>Pessoa Backend</x:v>
      </x:c>
      <x:c r="C29" s="30" t="str">
        <x:v>Dev Backend/Infra</x:v>
      </x:c>
      <x:c r="D29" s="77" t="n">
        <x:v>0.22</x:v>
      </x:c>
      <x:c r="E29" s="74" t="n">
        <x:f>IF($A29=Dashboard!$B$8,Dashboard!$E$11*$D29,0)</x:f>
        <x:v>3696</x:v>
      </x:c>
      <x:c r="F29" s="77" t="n">
        <x:v>0.05</x:v>
      </x:c>
      <x:c r="G29" s="74" t="n">
        <x:f>IF($A29=Dashboard!$B$8,Dashboard!$E$8*Dashboard!$E$9*$F29,0)</x:f>
        <x:v>540</x:v>
      </x:c>
      <x:c r="H29" s="77" t="n">
        <x:v>0.2</x:v>
      </x:c>
      <x:c r="I29" s="74" t="n">
        <x:f>IF($A29=Dashboard!$B$8,Dashboard!$G$13*$H29,0)</x:f>
        <x:v>0</x:v>
      </x:c>
      <x:c r="J29" s="30" t="str">
        <x:v>Infra, banco, APIs, integrações e deploy</x:v>
      </x:c>
      <x:c r="K29" s="30"/>
    </x:row>
    <x:row r="30">
      <x:c r="A30" s="30" t="str">
        <x:v>Opção 4 - Híbrida</x:v>
      </x:c>
      <x:c r="B30" s="30" t="str">
        <x:v>Pessoa Arquiteta/QA</x:v>
      </x:c>
      <x:c r="C30" s="30" t="str">
        <x:v>Arquitetura/QA</x:v>
      </x:c>
      <x:c r="D30" s="77" t="n">
        <x:v>0.1</x:v>
      </x:c>
      <x:c r="E30" s="74" t="n">
        <x:f>IF($A30=Dashboard!$B$8,Dashboard!$E$11*$D30,0)</x:f>
        <x:v>1680</x:v>
      </x:c>
      <x:c r="F30" s="77" t="n">
        <x:v>0</x:v>
      </x:c>
      <x:c r="G30" s="74" t="n">
        <x:f>IF($A30=Dashboard!$B$8,Dashboard!$E$8*Dashboard!$E$9*$F30,0)</x:f>
        <x:v>0</x:v>
      </x:c>
      <x:c r="H30" s="77" t="n">
        <x:v>0.1</x:v>
      </x:c>
      <x:c r="I30" s="74" t="n">
        <x:f>IF($A30=Dashboard!$B$8,Dashboard!$G$13*$H30,0)</x:f>
        <x:v>0</x:v>
      </x:c>
      <x:c r="J30" s="30" t="str">
        <x:v>Arquitetura, qualidade, segurança e revisão</x:v>
      </x:c>
      <x:c r="K30" s="30"/>
    </x:row>
    <x:row r="31">
      <x:c r="A31" s="30" t="str">
        <x:v>Opção 4 - Híbrida</x:v>
      </x:c>
      <x:c r="B31" s="30" t="str">
        <x:v>Pessoa Gestão/PM</x:v>
      </x:c>
      <x:c r="C31" s="30" t="str">
        <x:v>Gestão/PM</x:v>
      </x:c>
      <x:c r="D31" s="77" t="n">
        <x:v>0.08</x:v>
      </x:c>
      <x:c r="E31" s="74" t="n">
        <x:f>IF($A31=Dashboard!$B$8,Dashboard!$E$11*$D31,0)</x:f>
        <x:v>1344</x:v>
      </x:c>
      <x:c r="F31" s="77" t="n">
        <x:v>0.05</x:v>
      </x:c>
      <x:c r="G31" s="74" t="n">
        <x:f>IF($A31=Dashboard!$B$8,Dashboard!$E$8*Dashboard!$E$9*$F31,0)</x:f>
        <x:v>540</x:v>
      </x:c>
      <x:c r="H31" s="77" t="n">
        <x:v>0.08</x:v>
      </x:c>
      <x:c r="I31" s="74" t="n">
        <x:f>IF($A31=Dashboard!$B$8,Dashboard!$G$13*$H31,0)</x:f>
        <x:v>0</x:v>
      </x:c>
      <x:c r="J31" s="30" t="str">
        <x:v>Gestão, operação, alinhamentos e cliente</x:v>
      </x:c>
      <x:c r="K31" s="30"/>
    </x:row>
    <x:row r="32">
      <x:c r="A32" s="30" t="str">
        <x:v>Opção 4 - Híbrida</x:v>
      </x:c>
      <x:c r="B32" s="30" t="str">
        <x:v>Reserva Produto</x:v>
      </x:c>
      <x:c r="C32" s="30" t="str">
        <x:v>Reserva/Produto</x:v>
      </x:c>
      <x:c r="D32" s="77" t="n">
        <x:v>0.13</x:v>
      </x:c>
      <x:c r="E32" s="74" t="n">
        <x:f>IF($A32=Dashboard!$B$8,Dashboard!$E$11*$D32,0)</x:f>
        <x:v>2184</x:v>
      </x:c>
      <x:c r="F32" s="77" t="n">
        <x:v>0.55</x:v>
      </x:c>
      <x:c r="G32" s="74" t="n">
        <x:f>IF($A32=Dashboard!$B$8,Dashboard!$E$8*Dashboard!$E$9*$F32,0)</x:f>
        <x:v>5940.000000000001</x:v>
      </x:c>
      <x:c r="H32" s="77" t="n">
        <x:v>0.07</x:v>
      </x:c>
      <x:c r="I32" s="74" t="n">
        <x:f>IF($A32=Dashboard!$B$8,Dashboard!$G$13*$H32,0)</x:f>
        <x:v>0</x:v>
      </x:c>
      <x:c r="J32" s="30" t="str">
        <x:v>Reserva para evolução, risco, inadimplência e produto</x:v>
      </x:c>
      <x:c r="K32" s="30"/>
    </x:row>
    <x:row r="33">
      <x:c r="A33" s="30" t="str">
        <x:v>Custom</x:v>
      </x:c>
      <x:c r="B33" s="30" t="str">
        <x:v>UzzAI Empresa</x:v>
      </x:c>
      <x:c r="C33" s="30" t="str">
        <x:v>UzzAI Empresa</x:v>
      </x:c>
      <x:c r="D33" s="77" t="n">
        <x:v>0.2</x:v>
      </x:c>
      <x:c r="E33" s="74" t="n">
        <x:f>IF($A33=Dashboard!$B$8,Dashboard!$E$11*$D33,0)</x:f>
        <x:v>0</x:v>
      </x:c>
      <x:c r="F33" s="77" t="n">
        <x:v>0.3</x:v>
      </x:c>
      <x:c r="G33" s="74" t="n">
        <x:f>IF($A33=Dashboard!$B$8,Dashboard!$E$8*Dashboard!$E$9*$F33,0)</x:f>
        <x:v>0</x:v>
      </x:c>
      <x:c r="H33" s="77" t="n">
        <x:v>0.25</x:v>
      </x:c>
      <x:c r="I33" s="74" t="n">
        <x:f>IF($A33=Dashboard!$B$8,Dashboard!$G$13*$H33,0)</x:f>
        <x:v>0</x:v>
      </x:c>
      <x:c r="J33" s="30" t="str">
        <x:v>Caixa, operação, jurídico, impostos não alocados</x:v>
      </x:c>
      <x:c r="K33" s="30"/>
    </x:row>
    <x:row r="34">
      <x:c r="A34" s="30" t="str">
        <x:v>Custom</x:v>
      </x:c>
      <x:c r="B34" s="30" t="str">
        <x:v>Pessoa Comercial</x:v>
      </x:c>
      <x:c r="C34" s="30" t="str">
        <x:v>Comercial/Account</x:v>
      </x:c>
      <x:c r="D34" s="77" t="n">
        <x:v>0.1</x:v>
      </x:c>
      <x:c r="E34" s="74" t="n">
        <x:f>IF($A34=Dashboard!$B$8,Dashboard!$E$11*$D34,0)</x:f>
        <x:v>0</x:v>
      </x:c>
      <x:c r="F34" s="77" t="n">
        <x:v>0.1</x:v>
      </x:c>
      <x:c r="G34" s="74" t="n">
        <x:f>IF($A34=Dashboard!$B$8,Dashboard!$E$8*Dashboard!$E$9*$F34,0)</x:f>
        <x:v>0</x:v>
      </x:c>
      <x:c r="H34" s="77" t="n">
        <x:v>0.1</x:v>
      </x:c>
      <x:c r="I34" s="74" t="n">
        <x:f>IF($A34=Dashboard!$B$8,Dashboard!$G$13*$H34,0)</x:f>
        <x:v>0</x:v>
      </x:c>
      <x:c r="J34" s="30" t="str">
        <x:v>Venda, relacionamento, acompanhamento e expansão</x:v>
      </x:c>
      <x:c r="K34" s="30"/>
    </x:row>
    <x:row r="35">
      <x:c r="A35" s="30" t="str">
        <x:v>Custom</x:v>
      </x:c>
      <x:c r="B35" s="30" t="str">
        <x:v>Pessoa Frontend</x:v>
      </x:c>
      <x:c r="C35" s="30" t="str">
        <x:v>Dev Frontend/Produto</x:v>
      </x:c>
      <x:c r="D35" s="77" t="n">
        <x:v>0.2</x:v>
      </x:c>
      <x:c r="E35" s="74" t="n">
        <x:f>IF($A35=Dashboard!$B$8,Dashboard!$E$11*$D35,0)</x:f>
        <x:v>0</x:v>
      </x:c>
      <x:c r="F35" s="77" t="n">
        <x:v>0.05</x:v>
      </x:c>
      <x:c r="G35" s="74" t="n">
        <x:f>IF($A35=Dashboard!$B$8,Dashboard!$E$8*Dashboard!$E$9*$F35,0)</x:f>
        <x:v>0</x:v>
      </x:c>
      <x:c r="H35" s="77" t="n">
        <x:v>0.2</x:v>
      </x:c>
      <x:c r="I35" s="74" t="n">
        <x:f>IF($A35=Dashboard!$B$8,Dashboard!$G$13*$H35,0)</x:f>
        <x:v>0</x:v>
      </x:c>
      <x:c r="J35" s="30" t="str">
        <x:v>Produto, UX, front, telas e experiência</x:v>
      </x:c>
      <x:c r="K35" s="30"/>
    </x:row>
    <x:row r="36">
      <x:c r="A36" s="30" t="str">
        <x:v>Custom</x:v>
      </x:c>
      <x:c r="B36" s="30" t="str">
        <x:v>Pessoa Backend</x:v>
      </x:c>
      <x:c r="C36" s="30" t="str">
        <x:v>Dev Backend/Infra</x:v>
      </x:c>
      <x:c r="D36" s="77" t="n">
        <x:v>0.2</x:v>
      </x:c>
      <x:c r="E36" s="74" t="n">
        <x:f>IF($A36=Dashboard!$B$8,Dashboard!$E$11*$D36,0)</x:f>
        <x:v>0</x:v>
      </x:c>
      <x:c r="F36" s="77" t="n">
        <x:v>0.05</x:v>
      </x:c>
      <x:c r="G36" s="74" t="n">
        <x:f>IF($A36=Dashboard!$B$8,Dashboard!$E$8*Dashboard!$E$9*$F36,0)</x:f>
        <x:v>0</x:v>
      </x:c>
      <x:c r="H36" s="77" t="n">
        <x:v>0.2</x:v>
      </x:c>
      <x:c r="I36" s="74" t="n">
        <x:f>IF($A36=Dashboard!$B$8,Dashboard!$G$13*$H36,0)</x:f>
        <x:v>0</x:v>
      </x:c>
      <x:c r="J36" s="30" t="str">
        <x:v>Infra, banco, APIs, integrações e deploy</x:v>
      </x:c>
      <x:c r="K36" s="30"/>
    </x:row>
    <x:row r="37">
      <x:c r="A37" s="30" t="str">
        <x:v>Custom</x:v>
      </x:c>
      <x:c r="B37" s="30" t="str">
        <x:v>Pessoa Arquiteta/QA</x:v>
      </x:c>
      <x:c r="C37" s="30" t="str">
        <x:v>Arquitetura/QA</x:v>
      </x:c>
      <x:c r="D37" s="77" t="n">
        <x:v>0.1</x:v>
      </x:c>
      <x:c r="E37" s="74" t="n">
        <x:f>IF($A37=Dashboard!$B$8,Dashboard!$E$11*$D37,0)</x:f>
        <x:v>0</x:v>
      </x:c>
      <x:c r="F37" s="77" t="n">
        <x:v>0.05</x:v>
      </x:c>
      <x:c r="G37" s="74" t="n">
        <x:f>IF($A37=Dashboard!$B$8,Dashboard!$E$8*Dashboard!$E$9*$F37,0)</x:f>
        <x:v>0</x:v>
      </x:c>
      <x:c r="H37" s="77" t="n">
        <x:v>0.1</x:v>
      </x:c>
      <x:c r="I37" s="74" t="n">
        <x:f>IF($A37=Dashboard!$B$8,Dashboard!$G$13*$H37,0)</x:f>
        <x:v>0</x:v>
      </x:c>
      <x:c r="J37" s="30" t="str">
        <x:v>Arquitetura, qualidade, segurança e revisão</x:v>
      </x:c>
      <x:c r="K37" s="30"/>
    </x:row>
    <x:row r="38">
      <x:c r="A38" s="30" t="str">
        <x:v>Custom</x:v>
      </x:c>
      <x:c r="B38" s="30" t="str">
        <x:v>Pessoa Gestão/PM</x:v>
      </x:c>
      <x:c r="C38" s="30" t="str">
        <x:v>Gestão/PM</x:v>
      </x:c>
      <x:c r="D38" s="77" t="n">
        <x:v>0.1</x:v>
      </x:c>
      <x:c r="E38" s="74" t="n">
        <x:f>IF($A38=Dashboard!$B$8,Dashboard!$E$11*$D38,0)</x:f>
        <x:v>0</x:v>
      </x:c>
      <x:c r="F38" s="77" t="n">
        <x:v>0.05</x:v>
      </x:c>
      <x:c r="G38" s="74" t="n">
        <x:f>IF($A38=Dashboard!$B$8,Dashboard!$E$8*Dashboard!$E$9*$F38,0)</x:f>
        <x:v>0</x:v>
      </x:c>
      <x:c r="H38" s="77" t="n">
        <x:v>0.05</x:v>
      </x:c>
      <x:c r="I38" s="74" t="n">
        <x:f>IF($A38=Dashboard!$B$8,Dashboard!$G$13*$H38,0)</x:f>
        <x:v>0</x:v>
      </x:c>
      <x:c r="J38" s="30" t="str">
        <x:v>Gestão, operação, alinhamentos e cliente</x:v>
      </x:c>
      <x:c r="K38" s="30"/>
    </x:row>
    <x:row r="39">
      <x:c r="A39" s="30" t="str">
        <x:v>Custom</x:v>
      </x:c>
      <x:c r="B39" s="30" t="str">
        <x:v>Reserva Produto</x:v>
      </x:c>
      <x:c r="C39" s="30" t="str">
        <x:v>Reserva/Produto</x:v>
      </x:c>
      <x:c r="D39" s="77" t="n">
        <x:v>0.1</x:v>
      </x:c>
      <x:c r="E39" s="74" t="n">
        <x:f>IF($A39=Dashboard!$B$8,Dashboard!$E$11*$D39,0)</x:f>
        <x:v>0</x:v>
      </x:c>
      <x:c r="F39" s="77" t="n">
        <x:v>0.4</x:v>
      </x:c>
      <x:c r="G39" s="74" t="n">
        <x:f>IF($A39=Dashboard!$B$8,Dashboard!$E$8*Dashboard!$E$9*$F39,0)</x:f>
        <x:v>0</x:v>
      </x:c>
      <x:c r="H39" s="77" t="n">
        <x:v>0.1</x:v>
      </x:c>
      <x:c r="I39" s="74" t="n">
        <x:f>IF($A39=Dashboard!$B$8,Dashboard!$G$13*$H39,0)</x:f>
        <x:v>0</x:v>
      </x:c>
      <x:c r="J39" s="30" t="str">
        <x:v>Reserva para evolução, risco, inadimplência e produto</x:v>
      </x:c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</x:row>
    <x:row r="20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</x:row>
    <x:row r="202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</x:row>
    <x:row r="203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</x:row>
    <x:row r="204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</x:row>
    <x:row r="205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</x:row>
    <x:row r="206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</x:row>
    <x:row r="207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</x:row>
    <x:row r="208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</x:row>
    <x:row r="209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</x:row>
    <x:row r="210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</x:row>
    <x:row r="21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</x:row>
    <x:row r="212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</x:row>
    <x:row r="213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</x:row>
    <x:row r="214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</x:row>
    <x:row r="215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</x:row>
    <x:row r="216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</x:row>
    <x:row r="217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</x:row>
    <x:row r="218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</x:row>
    <x:row r="219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</x:row>
    <x:row r="220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</x:row>
  </x:sheetData>
  <x:mergeCells>
    <x:mergeCell ref="A1:J1"/>
    <x:mergeCell ref="A2:J2"/>
  </x:mergeCells>
  <x:dataValidations count="2">
    <x:dataValidation type="list" sqref="A5:A39">
      <x:formula1>Listas!$B$5:$B$9</x:formula1>
    </x:dataValidation>
    <x:dataValidation type="list" sqref="C5:C39">
      <x:formula1>Listas!$J$5:$J$11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cc5dfe99b8444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24" hidden="0" customWidth="1"/>
    <x:col min="4" max="4" width="12" hidden="0" customWidth="1"/>
    <x:col min="5" max="5" width="16" hidden="0" customWidth="1"/>
    <x:col min="6" max="6" width="16" hidden="0" customWidth="1"/>
    <x:col min="7" max="7" width="18" hidden="0" customWidth="1"/>
    <x:col min="8" max="8" width="12" hidden="0" customWidth="1"/>
    <x:col min="9" max="9" width="16" hidden="0" customWidth="1"/>
    <x:col min="10" max="10" width="16" hidden="0" customWidth="1"/>
    <x:col min="11" max="11" width="52" hidden="0" customWidth="1"/>
  </x:cols>
  <x:sheetData>
    <x:row r="1" ht="30" customHeight="1">
      <x:c r="A1" s="68" t="str">
        <x:v>DISTRIBUIÇÃO AUTOMÁTICA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</x:row>
    <x:row r="2" ht="24" customHeight="1">
      <x:c r="A2" s="69" t="str">
        <x:v>Mostra valores por pessoa/empresa conforme modelo selecionado no Dashboard</x:v>
      </x:c>
      <x:c r="B2" s="69"/>
      <x:c r="C2" s="69"/>
      <x:c r="D2" s="69"/>
      <x:c r="E2" s="69"/>
      <x:c r="F2" s="69"/>
      <x:c r="G2" s="69"/>
      <x:c r="H2" s="69"/>
      <x:c r="I2" s="69"/>
      <x:c r="J2" s="69"/>
      <x:c r="K2" s="69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 ht="23" customHeight="1">
      <x:c r="A4" s="70" t="str">
        <x:v>Resumo por base</x:v>
      </x:c>
      <x:c r="B4" s="30"/>
      <x:c r="C4" s="30"/>
      <x:c r="D4" s="30"/>
      <x:c r="E4" s="30"/>
      <x:c r="F4" s="30"/>
      <x:c r="G4" s="30"/>
      <x:c r="H4" s="30"/>
      <x:c r="I4" s="30"/>
      <x:c r="J4" s="30"/>
      <x:c r="K4" s="30"/>
    </x:row>
    <x:row r="5" ht="26" customHeight="1">
      <x:c r="A5" s="26" t="str">
        <x:v>Base</x:v>
      </x:c>
      <x:c r="B5" s="26" t="str">
        <x:v>Valor</x:v>
      </x:c>
      <x:c r="C5" s="26" t="str">
        <x:v>Observação</x:v>
      </x:c>
      <x:c r="D5" s="30"/>
      <x:c r="E5" s="30"/>
      <x:c r="F5" s="30"/>
      <x:c r="G5" s="30"/>
      <x:c r="H5" s="30"/>
      <x:c r="I5" s="30"/>
      <x:c r="J5" s="30"/>
      <x:c r="K5" s="30"/>
    </x:row>
    <x:row r="6">
      <x:c r="A6" s="30" t="str">
        <x:v>Setup total selecionado</x:v>
      </x:c>
      <x:c r="B6" s="74" t="n">
        <x:f>Dashboard!E11</x:f>
        <x:v>16800</x:v>
      </x:c>
      <x:c r="C6" s="30" t="str">
        <x:v>Sinal + entrega + intermediário</x:v>
      </x:c>
      <x:c r="D6" s="30"/>
      <x:c r="E6" s="30"/>
      <x:c r="F6" s="30"/>
      <x:c r="G6" s="30"/>
      <x:c r="H6" s="30"/>
      <x:c r="I6" s="30"/>
      <x:c r="J6" s="30"/>
      <x:c r="K6" s="30"/>
    </x:row>
    <x:row r="7">
      <x:c r="A7" s="30" t="str">
        <x:v>Recorrência total</x:v>
      </x:c>
      <x:c r="B7" s="74" t="n">
        <x:f>Dashboard!E8*Dashboard!E9</x:f>
        <x:v>10800</x:v>
      </x:c>
      <x:c r="C7" s="30" t="str">
        <x:v>Mensalidade × meses</x:v>
      </x:c>
      <x:c r="D7" s="30"/>
      <x:c r="E7" s="30"/>
      <x:c r="F7" s="30"/>
      <x:c r="G7" s="30"/>
      <x:c r="H7" s="30"/>
      <x:c r="I7" s="30"/>
      <x:c r="J7" s="30"/>
      <x:c r="K7" s="30"/>
    </x:row>
    <x:row r="8">
      <x:c r="A8" s="30" t="str">
        <x:v>Pool líquido</x:v>
      </x:c>
      <x:c r="B8" s="74" t="n">
        <x:f>Dashboard!G9</x:f>
        <x:v>762</x:v>
      </x:c>
      <x:c r="C8" s="30" t="str">
        <x:v>Receita - impostos - custos</x:v>
      </x:c>
      <x:c r="D8" s="30"/>
      <x:c r="E8" s="30"/>
      <x:c r="F8" s="30"/>
      <x:c r="G8" s="30"/>
      <x:c r="H8" s="30"/>
      <x:c r="I8" s="30"/>
      <x:c r="J8" s="30"/>
      <x:c r="K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</x:row>
    <x:row r="10" ht="23" customHeight="1">
      <x:c r="A10" s="70" t="str">
        <x:v>Distribuição por participante</x:v>
      </x:c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</x:row>
    <x:row r="11" ht="26" customHeight="1">
      <x:c r="A11" s="26" t="str">
        <x:v>Modelo</x:v>
      </x:c>
      <x:c r="B11" s="26" t="str">
        <x:v>Pessoa/Empresa</x:v>
      </x:c>
      <x:c r="C11" s="26" t="str">
        <x:v>Papel</x:v>
      </x:c>
      <x:c r="D11" s="26" t="str">
        <x:v>% Setup</x:v>
      </x:c>
      <x:c r="E11" s="26" t="str">
        <x:v>Valor Setup</x:v>
      </x:c>
      <x:c r="F11" s="26" t="str">
        <x:v>% Recorrência</x:v>
      </x:c>
      <x:c r="G11" s="26" t="str">
        <x:v>Valor Recorrência</x:v>
      </x:c>
      <x:c r="H11" s="26" t="str">
        <x:v>% Pool</x:v>
      </x:c>
      <x:c r="I11" s="26" t="str">
        <x:v>Valor Pool</x:v>
      </x:c>
      <x:c r="J11" s="26" t="str">
        <x:v>Total</x:v>
      </x:c>
      <x:c r="K11" s="26" t="str">
        <x:v>Observação</x:v>
      </x:c>
    </x:row>
    <x:row r="12">
      <x:c r="A12" s="30" t="str">
        <x:f>Percentuais!A5</x:f>
        <x:v>Opção 1 - Setup + Recorrência</x:v>
      </x:c>
      <x:c r="B12" s="30" t="str">
        <x:f>Percentuais!B5</x:f>
        <x:v>UzzAI Empresa</x:v>
      </x:c>
      <x:c r="C12" s="30" t="str">
        <x:f>Percentuais!C5</x:f>
        <x:v>UzzAI Empresa</x:v>
      </x:c>
      <x:c r="D12" s="77" t="n">
        <x:f>Percentuais!D5</x:f>
        <x:v>0.2</x:v>
      </x:c>
      <x:c r="E12" s="74" t="n">
        <x:f>Percentuais!E5</x:f>
        <x:v>0</x:v>
      </x:c>
      <x:c r="F12" s="77" t="n">
        <x:f>Percentuais!F5</x:f>
        <x:v>0.35</x:v>
      </x:c>
      <x:c r="G12" s="74" t="n">
        <x:f>Percentuais!G5</x:f>
        <x:v>0</x:v>
      </x:c>
      <x:c r="H12" s="77" t="n">
        <x:f>Percentuais!H5</x:f>
        <x:v>0.25</x:v>
      </x:c>
      <x:c r="I12" s="74" t="n">
        <x:f>Percentuais!I5</x:f>
        <x:v>0</x:v>
      </x:c>
      <x:c r="J12" s="74" t="n">
        <x:f>E12+G12+I12</x:f>
        <x:v>0</x:v>
      </x:c>
      <x:c r="K12" s="30" t="str">
        <x:f>Percentuais!J5</x:f>
        <x:v>Caixa, operação, jurídico, impostos não alocados</x:v>
      </x:c>
    </x:row>
    <x:row r="13">
      <x:c r="A13" s="30" t="str">
        <x:f>Percentuais!A6</x:f>
        <x:v>Opção 1 - Setup + Recorrência</x:v>
      </x:c>
      <x:c r="B13" s="30" t="str">
        <x:f>Percentuais!B6</x:f>
        <x:v>Pessoa Comercial</x:v>
      </x:c>
      <x:c r="C13" s="30" t="str">
        <x:f>Percentuais!C6</x:f>
        <x:v>Comercial/Account</x:v>
      </x:c>
      <x:c r="D13" s="77" t="n">
        <x:f>Percentuais!D6</x:f>
        <x:v>0.1</x:v>
      </x:c>
      <x:c r="E13" s="74" t="n">
        <x:f>Percentuais!E6</x:f>
        <x:v>0</x:v>
      </x:c>
      <x:c r="F13" s="77" t="n">
        <x:f>Percentuais!F6</x:f>
        <x:v>0.08</x:v>
      </x:c>
      <x:c r="G13" s="74" t="n">
        <x:f>Percentuais!G6</x:f>
        <x:v>0</x:v>
      </x:c>
      <x:c r="H13" s="77" t="n">
        <x:f>Percentuais!H6</x:f>
        <x:v>0.1</x:v>
      </x:c>
      <x:c r="I13" s="74" t="n">
        <x:f>Percentuais!I6</x:f>
        <x:v>0</x:v>
      </x:c>
      <x:c r="J13" s="74" t="n">
        <x:f>E13+G13+I13</x:f>
        <x:v>0</x:v>
      </x:c>
      <x:c r="K13" s="30" t="str">
        <x:f>Percentuais!J6</x:f>
        <x:v>Venda, relacionamento, acompanhamento e expansão</x:v>
      </x:c>
    </x:row>
    <x:row r="14">
      <x:c r="A14" s="30" t="str">
        <x:f>Percentuais!A7</x:f>
        <x:v>Opção 1 - Setup + Recorrência</x:v>
      </x:c>
      <x:c r="B14" s="30" t="str">
        <x:f>Percentuais!B7</x:f>
        <x:v>Pessoa Frontend</x:v>
      </x:c>
      <x:c r="C14" s="30" t="str">
        <x:f>Percentuais!C7</x:f>
        <x:v>Dev Frontend/Produto</x:v>
      </x:c>
      <x:c r="D14" s="77" t="n">
        <x:f>Percentuais!D7</x:f>
        <x:v>0.2</x:v>
      </x:c>
      <x:c r="E14" s="74" t="n">
        <x:f>Percentuais!E7</x:f>
        <x:v>0</x:v>
      </x:c>
      <x:c r="F14" s="77" t="n">
        <x:f>Percentuais!F7</x:f>
        <x:v>0.04</x:v>
      </x:c>
      <x:c r="G14" s="74" t="n">
        <x:f>Percentuais!G7</x:f>
        <x:v>0</x:v>
      </x:c>
      <x:c r="H14" s="77" t="n">
        <x:f>Percentuais!H7</x:f>
        <x:v>0.18</x:v>
      </x:c>
      <x:c r="I14" s="74" t="n">
        <x:f>Percentuais!I7</x:f>
        <x:v>0</x:v>
      </x:c>
      <x:c r="J14" s="74" t="n">
        <x:f>E14+G14+I14</x:f>
        <x:v>0</x:v>
      </x:c>
      <x:c r="K14" s="30" t="str">
        <x:f>Percentuais!J7</x:f>
        <x:v>Produto, UX, front, telas e experiência</x:v>
      </x:c>
    </x:row>
    <x:row r="15">
      <x:c r="A15" s="30" t="str">
        <x:f>Percentuais!A8</x:f>
        <x:v>Opção 1 - Setup + Recorrência</x:v>
      </x:c>
      <x:c r="B15" s="30" t="str">
        <x:f>Percentuais!B8</x:f>
        <x:v>Pessoa Backend</x:v>
      </x:c>
      <x:c r="C15" s="30" t="str">
        <x:f>Percentuais!C8</x:f>
        <x:v>Dev Backend/Infra</x:v>
      </x:c>
      <x:c r="D15" s="77" t="n">
        <x:f>Percentuais!D8</x:f>
        <x:v>0.2</x:v>
      </x:c>
      <x:c r="E15" s="74" t="n">
        <x:f>Percentuais!E8</x:f>
        <x:v>0</x:v>
      </x:c>
      <x:c r="F15" s="77" t="n">
        <x:f>Percentuais!F8</x:f>
        <x:v>0.06</x:v>
      </x:c>
      <x:c r="G15" s="74" t="n">
        <x:f>Percentuais!G8</x:f>
        <x:v>0</x:v>
      </x:c>
      <x:c r="H15" s="77" t="n">
        <x:f>Percentuais!H8</x:f>
        <x:v>0.18</x:v>
      </x:c>
      <x:c r="I15" s="74" t="n">
        <x:f>Percentuais!I8</x:f>
        <x:v>0</x:v>
      </x:c>
      <x:c r="J15" s="74" t="n">
        <x:f>E15+G15+I15</x:f>
        <x:v>0</x:v>
      </x:c>
      <x:c r="K15" s="30" t="str">
        <x:f>Percentuais!J8</x:f>
        <x:v>Infra, banco, APIs, integrações e deploy</x:v>
      </x:c>
    </x:row>
    <x:row r="16">
      <x:c r="A16" s="30" t="str">
        <x:f>Percentuais!A9</x:f>
        <x:v>Opção 1 - Setup + Recorrência</x:v>
      </x:c>
      <x:c r="B16" s="30" t="str">
        <x:f>Percentuais!B9</x:f>
        <x:v>Pessoa Arquiteta/QA</x:v>
      </x:c>
      <x:c r="C16" s="30" t="str">
        <x:f>Percentuais!C9</x:f>
        <x:v>Arquitetura/QA</x:v>
      </x:c>
      <x:c r="D16" s="77" t="n">
        <x:f>Percentuais!D9</x:f>
        <x:v>0.1</x:v>
      </x:c>
      <x:c r="E16" s="74" t="n">
        <x:f>Percentuais!E9</x:f>
        <x:v>0</x:v>
      </x:c>
      <x:c r="F16" s="77" t="n">
        <x:f>Percentuais!F9</x:f>
        <x:v>0.02</x:v>
      </x:c>
      <x:c r="G16" s="74" t="n">
        <x:f>Percentuais!G9</x:f>
        <x:v>0</x:v>
      </x:c>
      <x:c r="H16" s="77" t="n">
        <x:f>Percentuais!H9</x:f>
        <x:v>0.1</x:v>
      </x:c>
      <x:c r="I16" s="74" t="n">
        <x:f>Percentuais!I9</x:f>
        <x:v>0</x:v>
      </x:c>
      <x:c r="J16" s="74" t="n">
        <x:f>E16+G16+I16</x:f>
        <x:v>0</x:v>
      </x:c>
      <x:c r="K16" s="30" t="str">
        <x:f>Percentuais!J9</x:f>
        <x:v>Arquitetura, qualidade, segurança e revisão</x:v>
      </x:c>
    </x:row>
    <x:row r="17">
      <x:c r="A17" s="30" t="str">
        <x:f>Percentuais!A10</x:f>
        <x:v>Opção 1 - Setup + Recorrência</x:v>
      </x:c>
      <x:c r="B17" s="30" t="str">
        <x:f>Percentuais!B10</x:f>
        <x:v>Pessoa Gestão/PM</x:v>
      </x:c>
      <x:c r="C17" s="30" t="str">
        <x:f>Percentuais!C10</x:f>
        <x:v>Gestão/PM</x:v>
      </x:c>
      <x:c r="D17" s="77" t="n">
        <x:f>Percentuais!D10</x:f>
        <x:v>0.08</x:v>
      </x:c>
      <x:c r="E17" s="74" t="n">
        <x:f>Percentuais!E10</x:f>
        <x:v>0</x:v>
      </x:c>
      <x:c r="F17" s="77" t="n">
        <x:f>Percentuais!F10</x:f>
        <x:v>0.05</x:v>
      </x:c>
      <x:c r="G17" s="74" t="n">
        <x:f>Percentuais!G10</x:f>
        <x:v>0</x:v>
      </x:c>
      <x:c r="H17" s="77" t="n">
        <x:f>Percentuais!H10</x:f>
        <x:v>0.08</x:v>
      </x:c>
      <x:c r="I17" s="74" t="n">
        <x:f>Percentuais!I10</x:f>
        <x:v>0</x:v>
      </x:c>
      <x:c r="J17" s="74" t="n">
        <x:f>E17+G17+I17</x:f>
        <x:v>0</x:v>
      </x:c>
      <x:c r="K17" s="30" t="str">
        <x:f>Percentuais!J10</x:f>
        <x:v>Gestão, operação, alinhamentos e cliente</x:v>
      </x:c>
    </x:row>
    <x:row r="18">
      <x:c r="A18" s="30" t="str">
        <x:f>Percentuais!A11</x:f>
        <x:v>Opção 1 - Setup + Recorrência</x:v>
      </x:c>
      <x:c r="B18" s="30" t="str">
        <x:f>Percentuais!B11</x:f>
        <x:v>Reserva Produto</x:v>
      </x:c>
      <x:c r="C18" s="30" t="str">
        <x:f>Percentuais!C11</x:f>
        <x:v>Reserva/Produto</x:v>
      </x:c>
      <x:c r="D18" s="77" t="n">
        <x:f>Percentuais!D11</x:f>
        <x:v>0.12</x:v>
      </x:c>
      <x:c r="E18" s="74" t="n">
        <x:f>Percentuais!E11</x:f>
        <x:v>0</x:v>
      </x:c>
      <x:c r="F18" s="77" t="n">
        <x:f>Percentuais!F11</x:f>
        <x:v>0.4</x:v>
      </x:c>
      <x:c r="G18" s="74" t="n">
        <x:f>Percentuais!G11</x:f>
        <x:v>0</x:v>
      </x:c>
      <x:c r="H18" s="77" t="n">
        <x:f>Percentuais!H11</x:f>
        <x:v>0.11</x:v>
      </x:c>
      <x:c r="I18" s="74" t="n">
        <x:f>Percentuais!I11</x:f>
        <x:v>0</x:v>
      </x:c>
      <x:c r="J18" s="74" t="n">
        <x:f>E18+G18+I18</x:f>
        <x:v>0</x:v>
      </x:c>
      <x:c r="K18" s="30" t="str">
        <x:f>Percentuais!J11</x:f>
        <x:v>Reserva para evolução, risco, inadimplência e produto</x:v>
      </x:c>
    </x:row>
    <x:row r="19">
      <x:c r="A19" s="30" t="str">
        <x:f>Percentuais!A12</x:f>
        <x:v>Opção 2 - Recorrência 36m</x:v>
      </x:c>
      <x:c r="B19" s="30" t="str">
        <x:f>Percentuais!B12</x:f>
        <x:v>UzzAI Empresa</x:v>
      </x:c>
      <x:c r="C19" s="30" t="str">
        <x:f>Percentuais!C12</x:f>
        <x:v>UzzAI Empresa</x:v>
      </x:c>
      <x:c r="D19" s="77" t="n">
        <x:f>Percentuais!D12</x:f>
        <x:v>0.15</x:v>
      </x:c>
      <x:c r="E19" s="74" t="n">
        <x:f>Percentuais!E12</x:f>
        <x:v>0</x:v>
      </x:c>
      <x:c r="F19" s="77" t="n">
        <x:f>Percentuais!F12</x:f>
        <x:v>0.42</x:v>
      </x:c>
      <x:c r="G19" s="74" t="n">
        <x:f>Percentuais!G12</x:f>
        <x:v>0</x:v>
      </x:c>
      <x:c r="H19" s="77" t="n">
        <x:f>Percentuais!H12</x:f>
        <x:v>0.3</x:v>
      </x:c>
      <x:c r="I19" s="74" t="n">
        <x:f>Percentuais!I12</x:f>
        <x:v>0</x:v>
      </x:c>
      <x:c r="J19" s="74" t="n">
        <x:f>E19+G19+I19</x:f>
        <x:v>0</x:v>
      </x:c>
      <x:c r="K19" s="30" t="str">
        <x:f>Percentuais!J12</x:f>
        <x:v>Caixa, operação, jurídico, impostos não alocados</x:v>
      </x:c>
    </x:row>
    <x:row r="20">
      <x:c r="A20" s="30" t="str">
        <x:f>Percentuais!A13</x:f>
        <x:v>Opção 2 - Recorrência 36m</x:v>
      </x:c>
      <x:c r="B20" s="30" t="str">
        <x:f>Percentuais!B13</x:f>
        <x:v>Pessoa Comercial</x:v>
      </x:c>
      <x:c r="C20" s="30" t="str">
        <x:f>Percentuais!C13</x:f>
        <x:v>Comercial/Account</x:v>
      </x:c>
      <x:c r="D20" s="77" t="n">
        <x:f>Percentuais!D13</x:f>
        <x:v>0.1</x:v>
      </x:c>
      <x:c r="E20" s="74" t="n">
        <x:f>Percentuais!E13</x:f>
        <x:v>0</x:v>
      </x:c>
      <x:c r="F20" s="77" t="n">
        <x:f>Percentuais!F13</x:f>
        <x:v>0.08</x:v>
      </x:c>
      <x:c r="G20" s="74" t="n">
        <x:f>Percentuais!G13</x:f>
        <x:v>0</x:v>
      </x:c>
      <x:c r="H20" s="77" t="n">
        <x:f>Percentuais!H13</x:f>
        <x:v>0.1</x:v>
      </x:c>
      <x:c r="I20" s="74" t="n">
        <x:f>Percentuais!I13</x:f>
        <x:v>0</x:v>
      </x:c>
      <x:c r="J20" s="74" t="n">
        <x:f>E20+G20+I20</x:f>
        <x:v>0</x:v>
      </x:c>
      <x:c r="K20" s="30" t="str">
        <x:f>Percentuais!J13</x:f>
        <x:v>Venda, relacionamento, acompanhamento e expansão</x:v>
      </x:c>
    </x:row>
    <x:row r="21">
      <x:c r="A21" s="30" t="str">
        <x:f>Percentuais!A14</x:f>
        <x:v>Opção 2 - Recorrência 36m</x:v>
      </x:c>
      <x:c r="B21" s="30" t="str">
        <x:f>Percentuais!B14</x:f>
        <x:v>Pessoa Frontend</x:v>
      </x:c>
      <x:c r="C21" s="30" t="str">
        <x:f>Percentuais!C14</x:f>
        <x:v>Dev Frontend/Produto</x:v>
      </x:c>
      <x:c r="D21" s="77" t="n">
        <x:f>Percentuais!D14</x:f>
        <x:v>0.18</x:v>
      </x:c>
      <x:c r="E21" s="74" t="n">
        <x:f>Percentuais!E14</x:f>
        <x:v>0</x:v>
      </x:c>
      <x:c r="F21" s="77" t="n">
        <x:f>Percentuais!F14</x:f>
        <x:v>0.03</x:v>
      </x:c>
      <x:c r="G21" s="74" t="n">
        <x:f>Percentuais!G14</x:f>
        <x:v>0</x:v>
      </x:c>
      <x:c r="H21" s="77" t="n">
        <x:f>Percentuais!H14</x:f>
        <x:v>0.15</x:v>
      </x:c>
      <x:c r="I21" s="74" t="n">
        <x:f>Percentuais!I14</x:f>
        <x:v>0</x:v>
      </x:c>
      <x:c r="J21" s="74" t="n">
        <x:f>E21+G21+I21</x:f>
        <x:v>0</x:v>
      </x:c>
      <x:c r="K21" s="30" t="str">
        <x:f>Percentuais!J14</x:f>
        <x:v>Produto, UX, front, telas e experiência</x:v>
      </x:c>
    </x:row>
    <x:row r="22">
      <x:c r="A22" s="30" t="str">
        <x:f>Percentuais!A15</x:f>
        <x:v>Opção 2 - Recorrência 36m</x:v>
      </x:c>
      <x:c r="B22" s="30" t="str">
        <x:f>Percentuais!B15</x:f>
        <x:v>Pessoa Backend</x:v>
      </x:c>
      <x:c r="C22" s="30" t="str">
        <x:f>Percentuais!C15</x:f>
        <x:v>Dev Backend/Infra</x:v>
      </x:c>
      <x:c r="D22" s="77" t="n">
        <x:f>Percentuais!D15</x:f>
        <x:v>0.18</x:v>
      </x:c>
      <x:c r="E22" s="74" t="n">
        <x:f>Percentuais!E15</x:f>
        <x:v>0</x:v>
      </x:c>
      <x:c r="F22" s="77" t="n">
        <x:f>Percentuais!F15</x:f>
        <x:v>0.05</x:v>
      </x:c>
      <x:c r="G22" s="74" t="n">
        <x:f>Percentuais!G15</x:f>
        <x:v>0</x:v>
      </x:c>
      <x:c r="H22" s="77" t="n">
        <x:f>Percentuais!H15</x:f>
        <x:v>0.15</x:v>
      </x:c>
      <x:c r="I22" s="74" t="n">
        <x:f>Percentuais!I15</x:f>
        <x:v>0</x:v>
      </x:c>
      <x:c r="J22" s="74" t="n">
        <x:f>E22+G22+I22</x:f>
        <x:v>0</x:v>
      </x:c>
      <x:c r="K22" s="30" t="str">
        <x:f>Percentuais!J15</x:f>
        <x:v>Infra, banco, APIs, integrações e deploy</x:v>
      </x:c>
    </x:row>
    <x:row r="23">
      <x:c r="A23" s="30" t="str">
        <x:f>Percentuais!A16</x:f>
        <x:v>Opção 2 - Recorrência 36m</x:v>
      </x:c>
      <x:c r="B23" s="30" t="str">
        <x:f>Percentuais!B16</x:f>
        <x:v>Pessoa Arquiteta/QA</x:v>
      </x:c>
      <x:c r="C23" s="30" t="str">
        <x:f>Percentuais!C16</x:f>
        <x:v>Arquitetura/QA</x:v>
      </x:c>
      <x:c r="D23" s="77" t="n">
        <x:f>Percentuais!D16</x:f>
        <x:v>0.08</x:v>
      </x:c>
      <x:c r="E23" s="74" t="n">
        <x:f>Percentuais!E16</x:f>
        <x:v>0</x:v>
      </x:c>
      <x:c r="F23" s="77" t="n">
        <x:f>Percentuais!F16</x:f>
        <x:v>0.02</x:v>
      </x:c>
      <x:c r="G23" s="74" t="n">
        <x:f>Percentuais!G16</x:f>
        <x:v>0</x:v>
      </x:c>
      <x:c r="H23" s="77" t="n">
        <x:f>Percentuais!H16</x:f>
        <x:v>0.08</x:v>
      </x:c>
      <x:c r="I23" s="74" t="n">
        <x:f>Percentuais!I16</x:f>
        <x:v>0</x:v>
      </x:c>
      <x:c r="J23" s="74" t="n">
        <x:f>E23+G23+I23</x:f>
        <x:v>0</x:v>
      </x:c>
      <x:c r="K23" s="30" t="str">
        <x:f>Percentuais!J16</x:f>
        <x:v>Arquitetura, qualidade, segurança e revisão</x:v>
      </x:c>
    </x:row>
    <x:row r="24">
      <x:c r="A24" s="30" t="str">
        <x:f>Percentuais!A17</x:f>
        <x:v>Opção 2 - Recorrência 36m</x:v>
      </x:c>
      <x:c r="B24" s="30" t="str">
        <x:f>Percentuais!B17</x:f>
        <x:v>Pessoa Gestão/PM</x:v>
      </x:c>
      <x:c r="C24" s="30" t="str">
        <x:f>Percentuais!C17</x:f>
        <x:v>Gestão/PM</x:v>
      </x:c>
      <x:c r="D24" s="77" t="n">
        <x:f>Percentuais!D17</x:f>
        <x:v>0.06</x:v>
      </x:c>
      <x:c r="E24" s="74" t="n">
        <x:f>Percentuais!E17</x:f>
        <x:v>0</x:v>
      </x:c>
      <x:c r="F24" s="77" t="n">
        <x:f>Percentuais!F17</x:f>
        <x:v>0.04</x:v>
      </x:c>
      <x:c r="G24" s="74" t="n">
        <x:f>Percentuais!G17</x:f>
        <x:v>0</x:v>
      </x:c>
      <x:c r="H24" s="77" t="n">
        <x:f>Percentuais!H17</x:f>
        <x:v>0.07</x:v>
      </x:c>
      <x:c r="I24" s="74" t="n">
        <x:f>Percentuais!I17</x:f>
        <x:v>0</x:v>
      </x:c>
      <x:c r="J24" s="74" t="n">
        <x:f>E24+G24+I24</x:f>
        <x:v>0</x:v>
      </x:c>
      <x:c r="K24" s="30" t="str">
        <x:f>Percentuais!J17</x:f>
        <x:v>Gestão, operação, alinhamentos e cliente</x:v>
      </x:c>
    </x:row>
    <x:row r="25">
      <x:c r="A25" s="30" t="str">
        <x:f>Percentuais!A18</x:f>
        <x:v>Opção 2 - Recorrência 36m</x:v>
      </x:c>
      <x:c r="B25" s="30" t="str">
        <x:f>Percentuais!B18</x:f>
        <x:v>Reserva Produto</x:v>
      </x:c>
      <x:c r="C25" s="30" t="str">
        <x:f>Percentuais!C18</x:f>
        <x:v>Reserva/Produto</x:v>
      </x:c>
      <x:c r="D25" s="77" t="n">
        <x:f>Percentuais!D18</x:f>
        <x:v>0.25</x:v>
      </x:c>
      <x:c r="E25" s="74" t="n">
        <x:f>Percentuais!E18</x:f>
        <x:v>0</x:v>
      </x:c>
      <x:c r="F25" s="77" t="n">
        <x:f>Percentuais!F18</x:f>
        <x:v>0.36</x:v>
      </x:c>
      <x:c r="G25" s="74" t="n">
        <x:f>Percentuais!G18</x:f>
        <x:v>0</x:v>
      </x:c>
      <x:c r="H25" s="77" t="n">
        <x:f>Percentuais!H18</x:f>
        <x:v>0.15</x:v>
      </x:c>
      <x:c r="I25" s="74" t="n">
        <x:f>Percentuais!I18</x:f>
        <x:v>0</x:v>
      </x:c>
      <x:c r="J25" s="74" t="n">
        <x:f>E25+G25+I25</x:f>
        <x:v>0</x:v>
      </x:c>
      <x:c r="K25" s="30" t="str">
        <x:f>Percentuais!J18</x:f>
        <x:v>Reserva para evolução, risco, inadimplência e produto</x:v>
      </x:c>
    </x:row>
    <x:row r="26">
      <x:c r="A26" s="30" t="str">
        <x:f>Percentuais!A19</x:f>
        <x:v>Opção 3 - Setup Único</x:v>
      </x:c>
      <x:c r="B26" s="30" t="str">
        <x:f>Percentuais!B19</x:f>
        <x:v>UzzAI Empresa</x:v>
      </x:c>
      <x:c r="C26" s="30" t="str">
        <x:f>Percentuais!C19</x:f>
        <x:v>UzzAI Empresa</x:v>
      </x:c>
      <x:c r="D26" s="77" t="n">
        <x:f>Percentuais!D19</x:f>
        <x:v>0.25</x:v>
      </x:c>
      <x:c r="E26" s="74" t="n">
        <x:f>Percentuais!E19</x:f>
        <x:v>0</x:v>
      </x:c>
      <x:c r="F26" s="77" t="n">
        <x:f>Percentuais!F19</x:f>
        <x:v>0</x:v>
      </x:c>
      <x:c r="G26" s="74" t="n">
        <x:f>Percentuais!G19</x:f>
        <x:v>0</x:v>
      </x:c>
      <x:c r="H26" s="77" t="n">
        <x:f>Percentuais!H19</x:f>
        <x:v>0.25</x:v>
      </x:c>
      <x:c r="I26" s="74" t="n">
        <x:f>Percentuais!I19</x:f>
        <x:v>0</x:v>
      </x:c>
      <x:c r="J26" s="74" t="n">
        <x:f>E26+G26+I26</x:f>
        <x:v>0</x:v>
      </x:c>
      <x:c r="K26" s="30" t="str">
        <x:f>Percentuais!J19</x:f>
        <x:v>Caixa, operação, jurídico, impostos não alocados</x:v>
      </x:c>
    </x:row>
    <x:row r="27">
      <x:c r="A27" s="30" t="str">
        <x:f>Percentuais!A20</x:f>
        <x:v>Opção 3 - Setup Único</x:v>
      </x:c>
      <x:c r="B27" s="30" t="str">
        <x:f>Percentuais!B20</x:f>
        <x:v>Pessoa Comercial</x:v>
      </x:c>
      <x:c r="C27" s="30" t="str">
        <x:f>Percentuais!C20</x:f>
        <x:v>Comercial/Account</x:v>
      </x:c>
      <x:c r="D27" s="77" t="n">
        <x:f>Percentuais!D20</x:f>
        <x:v>0.08</x:v>
      </x:c>
      <x:c r="E27" s="74" t="n">
        <x:f>Percentuais!E20</x:f>
        <x:v>0</x:v>
      </x:c>
      <x:c r="F27" s="77" t="n">
        <x:f>Percentuais!F20</x:f>
        <x:v>0</x:v>
      </x:c>
      <x:c r="G27" s="74" t="n">
        <x:f>Percentuais!G20</x:f>
        <x:v>0</x:v>
      </x:c>
      <x:c r="H27" s="77" t="n">
        <x:f>Percentuais!H20</x:f>
        <x:v>0.08</x:v>
      </x:c>
      <x:c r="I27" s="74" t="n">
        <x:f>Percentuais!I20</x:f>
        <x:v>0</x:v>
      </x:c>
      <x:c r="J27" s="74" t="n">
        <x:f>E27+G27+I27</x:f>
        <x:v>0</x:v>
      </x:c>
      <x:c r="K27" s="30" t="str">
        <x:f>Percentuais!J20</x:f>
        <x:v>Venda, relacionamento, acompanhamento e expansão</x:v>
      </x:c>
    </x:row>
    <x:row r="28">
      <x:c r="A28" s="30" t="str">
        <x:f>Percentuais!A21</x:f>
        <x:v>Opção 3 - Setup Único</x:v>
      </x:c>
      <x:c r="B28" s="30" t="str">
        <x:f>Percentuais!B21</x:f>
        <x:v>Pessoa Frontend</x:v>
      </x:c>
      <x:c r="C28" s="30" t="str">
        <x:f>Percentuais!C21</x:f>
        <x:v>Dev Frontend/Produto</x:v>
      </x:c>
      <x:c r="D28" s="77" t="n">
        <x:f>Percentuais!D21</x:f>
        <x:v>0.22</x:v>
      </x:c>
      <x:c r="E28" s="74" t="n">
        <x:f>Percentuais!E21</x:f>
        <x:v>0</x:v>
      </x:c>
      <x:c r="F28" s="77" t="n">
        <x:f>Percentuais!F21</x:f>
        <x:v>0</x:v>
      </x:c>
      <x:c r="G28" s="74" t="n">
        <x:f>Percentuais!G21</x:f>
        <x:v>0</x:v>
      </x:c>
      <x:c r="H28" s="77" t="n">
        <x:f>Percentuais!H21</x:f>
        <x:v>0.22</x:v>
      </x:c>
      <x:c r="I28" s="74" t="n">
        <x:f>Percentuais!I21</x:f>
        <x:v>0</x:v>
      </x:c>
      <x:c r="J28" s="74" t="n">
        <x:f>E28+G28+I28</x:f>
        <x:v>0</x:v>
      </x:c>
      <x:c r="K28" s="30" t="str">
        <x:f>Percentuais!J21</x:f>
        <x:v>Produto, UX, front, telas e experiência</x:v>
      </x:c>
    </x:row>
    <x:row r="29">
      <x:c r="A29" s="30" t="str">
        <x:f>Percentuais!A22</x:f>
        <x:v>Opção 3 - Setup Único</x:v>
      </x:c>
      <x:c r="B29" s="30" t="str">
        <x:f>Percentuais!B22</x:f>
        <x:v>Pessoa Backend</x:v>
      </x:c>
      <x:c r="C29" s="30" t="str">
        <x:f>Percentuais!C22</x:f>
        <x:v>Dev Backend/Infra</x:v>
      </x:c>
      <x:c r="D29" s="77" t="n">
        <x:f>Percentuais!D22</x:f>
        <x:v>0.22</x:v>
      </x:c>
      <x:c r="E29" s="74" t="n">
        <x:f>Percentuais!E22</x:f>
        <x:v>0</x:v>
      </x:c>
      <x:c r="F29" s="77" t="n">
        <x:f>Percentuais!F22</x:f>
        <x:v>0</x:v>
      </x:c>
      <x:c r="G29" s="74" t="n">
        <x:f>Percentuais!G22</x:f>
        <x:v>0</x:v>
      </x:c>
      <x:c r="H29" s="77" t="n">
        <x:f>Percentuais!H22</x:f>
        <x:v>0.22</x:v>
      </x:c>
      <x:c r="I29" s="74" t="n">
        <x:f>Percentuais!I22</x:f>
        <x:v>0</x:v>
      </x:c>
      <x:c r="J29" s="74" t="n">
        <x:f>E29+G29+I29</x:f>
        <x:v>0</x:v>
      </x:c>
      <x:c r="K29" s="30" t="str">
        <x:f>Percentuais!J22</x:f>
        <x:v>Infra, banco, APIs, integrações e deploy</x:v>
      </x:c>
    </x:row>
    <x:row r="30">
      <x:c r="A30" s="30" t="str">
        <x:f>Percentuais!A23</x:f>
        <x:v>Opção 3 - Setup Único</x:v>
      </x:c>
      <x:c r="B30" s="30" t="str">
        <x:f>Percentuais!B23</x:f>
        <x:v>Pessoa Arquiteta/QA</x:v>
      </x:c>
      <x:c r="C30" s="30" t="str">
        <x:f>Percentuais!C23</x:f>
        <x:v>Arquitetura/QA</x:v>
      </x:c>
      <x:c r="D30" s="77" t="n">
        <x:f>Percentuais!D23</x:f>
        <x:v>0.1</x:v>
      </x:c>
      <x:c r="E30" s="74" t="n">
        <x:f>Percentuais!E23</x:f>
        <x:v>0</x:v>
      </x:c>
      <x:c r="F30" s="77" t="n">
        <x:f>Percentuais!F23</x:f>
        <x:v>0</x:v>
      </x:c>
      <x:c r="G30" s="74" t="n">
        <x:f>Percentuais!G23</x:f>
        <x:v>0</x:v>
      </x:c>
      <x:c r="H30" s="77" t="n">
        <x:f>Percentuais!H23</x:f>
        <x:v>0.1</x:v>
      </x:c>
      <x:c r="I30" s="74" t="n">
        <x:f>Percentuais!I23</x:f>
        <x:v>0</x:v>
      </x:c>
      <x:c r="J30" s="74" t="n">
        <x:f>E30+G30+I30</x:f>
        <x:v>0</x:v>
      </x:c>
      <x:c r="K30" s="30" t="str">
        <x:f>Percentuais!J23</x:f>
        <x:v>Arquitetura, qualidade, segurança e revisão</x:v>
      </x:c>
    </x:row>
    <x:row r="31">
      <x:c r="A31" s="30" t="str">
        <x:f>Percentuais!A24</x:f>
        <x:v>Opção 3 - Setup Único</x:v>
      </x:c>
      <x:c r="B31" s="30" t="str">
        <x:f>Percentuais!B24</x:f>
        <x:v>Pessoa Gestão/PM</x:v>
      </x:c>
      <x:c r="C31" s="30" t="str">
        <x:f>Percentuais!C24</x:f>
        <x:v>Gestão/PM</x:v>
      </x:c>
      <x:c r="D31" s="77" t="n">
        <x:f>Percentuais!D24</x:f>
        <x:v>0.08</x:v>
      </x:c>
      <x:c r="E31" s="74" t="n">
        <x:f>Percentuais!E24</x:f>
        <x:v>0</x:v>
      </x:c>
      <x:c r="F31" s="77" t="n">
        <x:f>Percentuais!F24</x:f>
        <x:v>0</x:v>
      </x:c>
      <x:c r="G31" s="74" t="n">
        <x:f>Percentuais!G24</x:f>
        <x:v>0</x:v>
      </x:c>
      <x:c r="H31" s="77" t="n">
        <x:f>Percentuais!H24</x:f>
        <x:v>0.08</x:v>
      </x:c>
      <x:c r="I31" s="74" t="n">
        <x:f>Percentuais!I24</x:f>
        <x:v>0</x:v>
      </x:c>
      <x:c r="J31" s="74" t="n">
        <x:f>E31+G31+I31</x:f>
        <x:v>0</x:v>
      </x:c>
      <x:c r="K31" s="30" t="str">
        <x:f>Percentuais!J24</x:f>
        <x:v>Gestão, operação, alinhamentos e cliente</x:v>
      </x:c>
    </x:row>
    <x:row r="32">
      <x:c r="A32" s="30" t="str">
        <x:f>Percentuais!A25</x:f>
        <x:v>Opção 3 - Setup Único</x:v>
      </x:c>
      <x:c r="B32" s="30" t="str">
        <x:f>Percentuais!B25</x:f>
        <x:v>Reserva Produto</x:v>
      </x:c>
      <x:c r="C32" s="30" t="str">
        <x:f>Percentuais!C25</x:f>
        <x:v>Reserva/Produto</x:v>
      </x:c>
      <x:c r="D32" s="77" t="n">
        <x:f>Percentuais!D25</x:f>
        <x:v>0.05</x:v>
      </x:c>
      <x:c r="E32" s="74" t="n">
        <x:f>Percentuais!E25</x:f>
        <x:v>0</x:v>
      </x:c>
      <x:c r="F32" s="77" t="n">
        <x:f>Percentuais!F25</x:f>
        <x:v>0</x:v>
      </x:c>
      <x:c r="G32" s="74" t="n">
        <x:f>Percentuais!G25</x:f>
        <x:v>0</x:v>
      </x:c>
      <x:c r="H32" s="77" t="n">
        <x:f>Percentuais!H25</x:f>
        <x:v>0.05</x:v>
      </x:c>
      <x:c r="I32" s="74" t="n">
        <x:f>Percentuais!I25</x:f>
        <x:v>0</x:v>
      </x:c>
      <x:c r="J32" s="74" t="n">
        <x:f>E32+G32+I32</x:f>
        <x:v>0</x:v>
      </x:c>
      <x:c r="K32" s="30" t="str">
        <x:f>Percentuais!J25</x:f>
        <x:v>Reserva para evolução, risco, inadimplência e produto</x:v>
      </x:c>
    </x:row>
    <x:row r="33">
      <x:c r="A33" s="30" t="str">
        <x:f>Percentuais!A26</x:f>
        <x:v>Opção 4 - Híbrida</x:v>
      </x:c>
      <x:c r="B33" s="30" t="str">
        <x:f>Percentuais!B26</x:f>
        <x:v>UzzAI Empresa</x:v>
      </x:c>
      <x:c r="C33" s="30" t="str">
        <x:f>Percentuais!C26</x:f>
        <x:v>UzzAI Empresa</x:v>
      </x:c>
      <x:c r="D33" s="77" t="n">
        <x:f>Percentuais!D26</x:f>
        <x:v>0.15</x:v>
      </x:c>
      <x:c r="E33" s="74" t="n">
        <x:f>Percentuais!E26</x:f>
        <x:v>2520</x:v>
      </x:c>
      <x:c r="F33" s="77" t="n">
        <x:f>Percentuais!F26</x:f>
        <x:v>0.2</x:v>
      </x:c>
      <x:c r="G33" s="74" t="n">
        <x:f>Percentuais!G26</x:f>
        <x:v>2160</x:v>
      </x:c>
      <x:c r="H33" s="77" t="n">
        <x:f>Percentuais!H26</x:f>
        <x:v>0.25</x:v>
      </x:c>
      <x:c r="I33" s="74" t="n">
        <x:f>Percentuais!I26</x:f>
        <x:v>0</x:v>
      </x:c>
      <x:c r="J33" s="74" t="n">
        <x:f>E33+G33+I33</x:f>
        <x:v>4680</x:v>
      </x:c>
      <x:c r="K33" s="30" t="str">
        <x:f>Percentuais!J26</x:f>
        <x:v>Caixa, operação, jurídico, impostos não alocados</x:v>
      </x:c>
    </x:row>
    <x:row r="34">
      <x:c r="A34" s="30" t="str">
        <x:f>Percentuais!A27</x:f>
        <x:v>Opção 4 - Híbrida</x:v>
      </x:c>
      <x:c r="B34" s="30" t="str">
        <x:f>Percentuais!B27</x:f>
        <x:v>Pessoa Comercial</x:v>
      </x:c>
      <x:c r="C34" s="30" t="str">
        <x:f>Percentuais!C27</x:f>
        <x:v>Comercial/Account</x:v>
      </x:c>
      <x:c r="D34" s="77" t="n">
        <x:f>Percentuais!D27</x:f>
        <x:v>0.1</x:v>
      </x:c>
      <x:c r="E34" s="74" t="n">
        <x:f>Percentuais!E27</x:f>
        <x:v>1680</x:v>
      </x:c>
      <x:c r="F34" s="77" t="n">
        <x:f>Percentuais!F27</x:f>
        <x:v>0.1</x:v>
      </x:c>
      <x:c r="G34" s="74" t="n">
        <x:f>Percentuais!G27</x:f>
        <x:v>1080</x:v>
      </x:c>
      <x:c r="H34" s="77" t="n">
        <x:f>Percentuais!H27</x:f>
        <x:v>0.1</x:v>
      </x:c>
      <x:c r="I34" s="74" t="n">
        <x:f>Percentuais!I27</x:f>
        <x:v>0</x:v>
      </x:c>
      <x:c r="J34" s="74" t="n">
        <x:f>E34+G34+I34</x:f>
        <x:v>2760</x:v>
      </x:c>
      <x:c r="K34" s="30" t="str">
        <x:f>Percentuais!J27</x:f>
        <x:v>Venda, relacionamento, acompanhamento e expansão</x:v>
      </x:c>
    </x:row>
    <x:row r="35">
      <x:c r="A35" s="30" t="str">
        <x:f>Percentuais!A28</x:f>
        <x:v>Opção 4 - Híbrida</x:v>
      </x:c>
      <x:c r="B35" s="30" t="str">
        <x:f>Percentuais!B28</x:f>
        <x:v>Pessoa Frontend</x:v>
      </x:c>
      <x:c r="C35" s="30" t="str">
        <x:f>Percentuais!C28</x:f>
        <x:v>Dev Frontend/Produto</x:v>
      </x:c>
      <x:c r="D35" s="77" t="n">
        <x:f>Percentuais!D28</x:f>
        <x:v>0.22</x:v>
      </x:c>
      <x:c r="E35" s="74" t="n">
        <x:f>Percentuais!E28</x:f>
        <x:v>3696</x:v>
      </x:c>
      <x:c r="F35" s="77" t="n">
        <x:f>Percentuais!F28</x:f>
        <x:v>0.05</x:v>
      </x:c>
      <x:c r="G35" s="74" t="n">
        <x:f>Percentuais!G28</x:f>
        <x:v>540</x:v>
      </x:c>
      <x:c r="H35" s="77" t="n">
        <x:f>Percentuais!H28</x:f>
        <x:v>0.2</x:v>
      </x:c>
      <x:c r="I35" s="74" t="n">
        <x:f>Percentuais!I28</x:f>
        <x:v>0</x:v>
      </x:c>
      <x:c r="J35" s="74" t="n">
        <x:f>E35+G35+I35</x:f>
        <x:v>4236</x:v>
      </x:c>
      <x:c r="K35" s="30" t="str">
        <x:f>Percentuais!J28</x:f>
        <x:v>Produto, UX, front, telas e experiência</x:v>
      </x:c>
    </x:row>
    <x:row r="36">
      <x:c r="A36" s="30" t="str">
        <x:f>Percentuais!A29</x:f>
        <x:v>Opção 4 - Híbrida</x:v>
      </x:c>
      <x:c r="B36" s="30" t="str">
        <x:f>Percentuais!B29</x:f>
        <x:v>Pessoa Backend</x:v>
      </x:c>
      <x:c r="C36" s="30" t="str">
        <x:f>Percentuais!C29</x:f>
        <x:v>Dev Backend/Infra</x:v>
      </x:c>
      <x:c r="D36" s="77" t="n">
        <x:f>Percentuais!D29</x:f>
        <x:v>0.22</x:v>
      </x:c>
      <x:c r="E36" s="74" t="n">
        <x:f>Percentuais!E29</x:f>
        <x:v>3696</x:v>
      </x:c>
      <x:c r="F36" s="77" t="n">
        <x:f>Percentuais!F29</x:f>
        <x:v>0.05</x:v>
      </x:c>
      <x:c r="G36" s="74" t="n">
        <x:f>Percentuais!G29</x:f>
        <x:v>540</x:v>
      </x:c>
      <x:c r="H36" s="77" t="n">
        <x:f>Percentuais!H29</x:f>
        <x:v>0.2</x:v>
      </x:c>
      <x:c r="I36" s="74" t="n">
        <x:f>Percentuais!I29</x:f>
        <x:v>0</x:v>
      </x:c>
      <x:c r="J36" s="74" t="n">
        <x:f>E36+G36+I36</x:f>
        <x:v>4236</x:v>
      </x:c>
      <x:c r="K36" s="30" t="str">
        <x:f>Percentuais!J29</x:f>
        <x:v>Infra, banco, APIs, integrações e deploy</x:v>
      </x:c>
    </x:row>
    <x:row r="37">
      <x:c r="A37" s="30" t="str">
        <x:f>Percentuais!A30</x:f>
        <x:v>Opção 4 - Híbrida</x:v>
      </x:c>
      <x:c r="B37" s="30" t="str">
        <x:f>Percentuais!B30</x:f>
        <x:v>Pessoa Arquiteta/QA</x:v>
      </x:c>
      <x:c r="C37" s="30" t="str">
        <x:f>Percentuais!C30</x:f>
        <x:v>Arquitetura/QA</x:v>
      </x:c>
      <x:c r="D37" s="77" t="n">
        <x:f>Percentuais!D30</x:f>
        <x:v>0.1</x:v>
      </x:c>
      <x:c r="E37" s="74" t="n">
        <x:f>Percentuais!E30</x:f>
        <x:v>1680</x:v>
      </x:c>
      <x:c r="F37" s="77" t="n">
        <x:f>Percentuais!F30</x:f>
        <x:v>0</x:v>
      </x:c>
      <x:c r="G37" s="74" t="n">
        <x:f>Percentuais!G30</x:f>
        <x:v>0</x:v>
      </x:c>
      <x:c r="H37" s="77" t="n">
        <x:f>Percentuais!H30</x:f>
        <x:v>0.1</x:v>
      </x:c>
      <x:c r="I37" s="74" t="n">
        <x:f>Percentuais!I30</x:f>
        <x:v>0</x:v>
      </x:c>
      <x:c r="J37" s="74" t="n">
        <x:f>E37+G37+I37</x:f>
        <x:v>1680</x:v>
      </x:c>
      <x:c r="K37" s="30" t="str">
        <x:f>Percentuais!J30</x:f>
        <x:v>Arquitetura, qualidade, segurança e revisão</x:v>
      </x:c>
    </x:row>
    <x:row r="38">
      <x:c r="A38" s="30" t="str">
        <x:f>Percentuais!A31</x:f>
        <x:v>Opção 4 - Híbrida</x:v>
      </x:c>
      <x:c r="B38" s="30" t="str">
        <x:f>Percentuais!B31</x:f>
        <x:v>Pessoa Gestão/PM</x:v>
      </x:c>
      <x:c r="C38" s="30" t="str">
        <x:f>Percentuais!C31</x:f>
        <x:v>Gestão/PM</x:v>
      </x:c>
      <x:c r="D38" s="77" t="n">
        <x:f>Percentuais!D31</x:f>
        <x:v>0.08</x:v>
      </x:c>
      <x:c r="E38" s="74" t="n">
        <x:f>Percentuais!E31</x:f>
        <x:v>1344</x:v>
      </x:c>
      <x:c r="F38" s="77" t="n">
        <x:f>Percentuais!F31</x:f>
        <x:v>0.05</x:v>
      </x:c>
      <x:c r="G38" s="74" t="n">
        <x:f>Percentuais!G31</x:f>
        <x:v>540</x:v>
      </x:c>
      <x:c r="H38" s="77" t="n">
        <x:f>Percentuais!H31</x:f>
        <x:v>0.08</x:v>
      </x:c>
      <x:c r="I38" s="74" t="n">
        <x:f>Percentuais!I31</x:f>
        <x:v>0</x:v>
      </x:c>
      <x:c r="J38" s="74" t="n">
        <x:f>E38+G38+I38</x:f>
        <x:v>1884</x:v>
      </x:c>
      <x:c r="K38" s="30" t="str">
        <x:f>Percentuais!J31</x:f>
        <x:v>Gestão, operação, alinhamentos e cliente</x:v>
      </x:c>
    </x:row>
    <x:row r="39">
      <x:c r="A39" s="30" t="str">
        <x:f>Percentuais!A32</x:f>
        <x:v>Opção 4 - Híbrida</x:v>
      </x:c>
      <x:c r="B39" s="30" t="str">
        <x:f>Percentuais!B32</x:f>
        <x:v>Reserva Produto</x:v>
      </x:c>
      <x:c r="C39" s="30" t="str">
        <x:f>Percentuais!C32</x:f>
        <x:v>Reserva/Produto</x:v>
      </x:c>
      <x:c r="D39" s="77" t="n">
        <x:f>Percentuais!D32</x:f>
        <x:v>0.13</x:v>
      </x:c>
      <x:c r="E39" s="74" t="n">
        <x:f>Percentuais!E32</x:f>
        <x:v>2184</x:v>
      </x:c>
      <x:c r="F39" s="77" t="n">
        <x:f>Percentuais!F32</x:f>
        <x:v>0.55</x:v>
      </x:c>
      <x:c r="G39" s="74" t="n">
        <x:f>Percentuais!G32</x:f>
        <x:v>5940.000000000001</x:v>
      </x:c>
      <x:c r="H39" s="77" t="n">
        <x:f>Percentuais!H32</x:f>
        <x:v>0.07</x:v>
      </x:c>
      <x:c r="I39" s="74" t="n">
        <x:f>Percentuais!I32</x:f>
        <x:v>0</x:v>
      </x:c>
      <x:c r="J39" s="74" t="n">
        <x:f>E39+G39+I39</x:f>
        <x:v>8124.000000000001</x:v>
      </x:c>
      <x:c r="K39" s="30" t="str">
        <x:f>Percentuais!J32</x:f>
        <x:v>Reserva para evolução, risco, inadimplência e produto</x:v>
      </x:c>
    </x:row>
    <x:row r="40">
      <x:c r="A40" s="30" t="str">
        <x:f>Percentuais!A33</x:f>
        <x:v>Custom</x:v>
      </x:c>
      <x:c r="B40" s="30" t="str">
        <x:f>Percentuais!B33</x:f>
        <x:v>UzzAI Empresa</x:v>
      </x:c>
      <x:c r="C40" s="30" t="str">
        <x:f>Percentuais!C33</x:f>
        <x:v>UzzAI Empresa</x:v>
      </x:c>
      <x:c r="D40" s="77" t="n">
        <x:f>Percentuais!D33</x:f>
        <x:v>0.2</x:v>
      </x:c>
      <x:c r="E40" s="74" t="n">
        <x:f>Percentuais!E33</x:f>
        <x:v>0</x:v>
      </x:c>
      <x:c r="F40" s="77" t="n">
        <x:f>Percentuais!F33</x:f>
        <x:v>0.3</x:v>
      </x:c>
      <x:c r="G40" s="74" t="n">
        <x:f>Percentuais!G33</x:f>
        <x:v>0</x:v>
      </x:c>
      <x:c r="H40" s="77" t="n">
        <x:f>Percentuais!H33</x:f>
        <x:v>0.25</x:v>
      </x:c>
      <x:c r="I40" s="74" t="n">
        <x:f>Percentuais!I33</x:f>
        <x:v>0</x:v>
      </x:c>
      <x:c r="J40" s="74" t="n">
        <x:f>E40+G40+I40</x:f>
        <x:v>0</x:v>
      </x:c>
      <x:c r="K40" s="30" t="str">
        <x:f>Percentuais!J33</x:f>
        <x:v>Caixa, operação, jurídico, impostos não alocados</x:v>
      </x:c>
    </x:row>
    <x:row r="41">
      <x:c r="A41" s="30" t="str">
        <x:f>Percentuais!A34</x:f>
        <x:v>Custom</x:v>
      </x:c>
      <x:c r="B41" s="30" t="str">
        <x:f>Percentuais!B34</x:f>
        <x:v>Pessoa Comercial</x:v>
      </x:c>
      <x:c r="C41" s="30" t="str">
        <x:f>Percentuais!C34</x:f>
        <x:v>Comercial/Account</x:v>
      </x:c>
      <x:c r="D41" s="77" t="n">
        <x:f>Percentuais!D34</x:f>
        <x:v>0.1</x:v>
      </x:c>
      <x:c r="E41" s="74" t="n">
        <x:f>Percentuais!E34</x:f>
        <x:v>0</x:v>
      </x:c>
      <x:c r="F41" s="77" t="n">
        <x:f>Percentuais!F34</x:f>
        <x:v>0.1</x:v>
      </x:c>
      <x:c r="G41" s="74" t="n">
        <x:f>Percentuais!G34</x:f>
        <x:v>0</x:v>
      </x:c>
      <x:c r="H41" s="77" t="n">
        <x:f>Percentuais!H34</x:f>
        <x:v>0.1</x:v>
      </x:c>
      <x:c r="I41" s="74" t="n">
        <x:f>Percentuais!I34</x:f>
        <x:v>0</x:v>
      </x:c>
      <x:c r="J41" s="74" t="n">
        <x:f>E41+G41+I41</x:f>
        <x:v>0</x:v>
      </x:c>
      <x:c r="K41" s="30" t="str">
        <x:f>Percentuais!J34</x:f>
        <x:v>Venda, relacionamento, acompanhamento e expansão</x:v>
      </x:c>
    </x:row>
    <x:row r="42">
      <x:c r="A42" s="30" t="str">
        <x:f>Percentuais!A35</x:f>
        <x:v>Custom</x:v>
      </x:c>
      <x:c r="B42" s="30" t="str">
        <x:f>Percentuais!B35</x:f>
        <x:v>Pessoa Frontend</x:v>
      </x:c>
      <x:c r="C42" s="30" t="str">
        <x:f>Percentuais!C35</x:f>
        <x:v>Dev Frontend/Produto</x:v>
      </x:c>
      <x:c r="D42" s="77" t="n">
        <x:f>Percentuais!D35</x:f>
        <x:v>0.2</x:v>
      </x:c>
      <x:c r="E42" s="74" t="n">
        <x:f>Percentuais!E35</x:f>
        <x:v>0</x:v>
      </x:c>
      <x:c r="F42" s="77" t="n">
        <x:f>Percentuais!F35</x:f>
        <x:v>0.05</x:v>
      </x:c>
      <x:c r="G42" s="74" t="n">
        <x:f>Percentuais!G35</x:f>
        <x:v>0</x:v>
      </x:c>
      <x:c r="H42" s="77" t="n">
        <x:f>Percentuais!H35</x:f>
        <x:v>0.2</x:v>
      </x:c>
      <x:c r="I42" s="74" t="n">
        <x:f>Percentuais!I35</x:f>
        <x:v>0</x:v>
      </x:c>
      <x:c r="J42" s="74" t="n">
        <x:f>E42+G42+I42</x:f>
        <x:v>0</x:v>
      </x:c>
      <x:c r="K42" s="30" t="str">
        <x:f>Percentuais!J35</x:f>
        <x:v>Produto, UX, front, telas e experiência</x:v>
      </x:c>
    </x:row>
    <x:row r="43">
      <x:c r="A43" s="30" t="str">
        <x:f>Percentuais!A36</x:f>
        <x:v>Custom</x:v>
      </x:c>
      <x:c r="B43" s="30" t="str">
        <x:f>Percentuais!B36</x:f>
        <x:v>Pessoa Backend</x:v>
      </x:c>
      <x:c r="C43" s="30" t="str">
        <x:f>Percentuais!C36</x:f>
        <x:v>Dev Backend/Infra</x:v>
      </x:c>
      <x:c r="D43" s="77" t="n">
        <x:f>Percentuais!D36</x:f>
        <x:v>0.2</x:v>
      </x:c>
      <x:c r="E43" s="74" t="n">
        <x:f>Percentuais!E36</x:f>
        <x:v>0</x:v>
      </x:c>
      <x:c r="F43" s="77" t="n">
        <x:f>Percentuais!F36</x:f>
        <x:v>0.05</x:v>
      </x:c>
      <x:c r="G43" s="74" t="n">
        <x:f>Percentuais!G36</x:f>
        <x:v>0</x:v>
      </x:c>
      <x:c r="H43" s="77" t="n">
        <x:f>Percentuais!H36</x:f>
        <x:v>0.2</x:v>
      </x:c>
      <x:c r="I43" s="74" t="n">
        <x:f>Percentuais!I36</x:f>
        <x:v>0</x:v>
      </x:c>
      <x:c r="J43" s="74" t="n">
        <x:f>E43+G43+I43</x:f>
        <x:v>0</x:v>
      </x:c>
      <x:c r="K43" s="30" t="str">
        <x:f>Percentuais!J36</x:f>
        <x:v>Infra, banco, APIs, integrações e deploy</x:v>
      </x:c>
    </x:row>
    <x:row r="44">
      <x:c r="A44" s="30" t="str">
        <x:f>Percentuais!A37</x:f>
        <x:v>Custom</x:v>
      </x:c>
      <x:c r="B44" s="30" t="str">
        <x:f>Percentuais!B37</x:f>
        <x:v>Pessoa Arquiteta/QA</x:v>
      </x:c>
      <x:c r="C44" s="30" t="str">
        <x:f>Percentuais!C37</x:f>
        <x:v>Arquitetura/QA</x:v>
      </x:c>
      <x:c r="D44" s="77" t="n">
        <x:f>Percentuais!D37</x:f>
        <x:v>0.1</x:v>
      </x:c>
      <x:c r="E44" s="74" t="n">
        <x:f>Percentuais!E37</x:f>
        <x:v>0</x:v>
      </x:c>
      <x:c r="F44" s="77" t="n">
        <x:f>Percentuais!F37</x:f>
        <x:v>0.05</x:v>
      </x:c>
      <x:c r="G44" s="74" t="n">
        <x:f>Percentuais!G37</x:f>
        <x:v>0</x:v>
      </x:c>
      <x:c r="H44" s="77" t="n">
        <x:f>Percentuais!H37</x:f>
        <x:v>0.1</x:v>
      </x:c>
      <x:c r="I44" s="74" t="n">
        <x:f>Percentuais!I37</x:f>
        <x:v>0</x:v>
      </x:c>
      <x:c r="J44" s="74" t="n">
        <x:f>E44+G44+I44</x:f>
        <x:v>0</x:v>
      </x:c>
      <x:c r="K44" s="30" t="str">
        <x:f>Percentuais!J37</x:f>
        <x:v>Arquitetura, qualidade, segurança e revisão</x:v>
      </x:c>
    </x:row>
    <x:row r="45">
      <x:c r="A45" s="30" t="str">
        <x:f>Percentuais!A38</x:f>
        <x:v>Custom</x:v>
      </x:c>
      <x:c r="B45" s="30" t="str">
        <x:f>Percentuais!B38</x:f>
        <x:v>Pessoa Gestão/PM</x:v>
      </x:c>
      <x:c r="C45" s="30" t="str">
        <x:f>Percentuais!C38</x:f>
        <x:v>Gestão/PM</x:v>
      </x:c>
      <x:c r="D45" s="77" t="n">
        <x:f>Percentuais!D38</x:f>
        <x:v>0.1</x:v>
      </x:c>
      <x:c r="E45" s="74" t="n">
        <x:f>Percentuais!E38</x:f>
        <x:v>0</x:v>
      </x:c>
      <x:c r="F45" s="77" t="n">
        <x:f>Percentuais!F38</x:f>
        <x:v>0.05</x:v>
      </x:c>
      <x:c r="G45" s="74" t="n">
        <x:f>Percentuais!G38</x:f>
        <x:v>0</x:v>
      </x:c>
      <x:c r="H45" s="77" t="n">
        <x:f>Percentuais!H38</x:f>
        <x:v>0.05</x:v>
      </x:c>
      <x:c r="I45" s="74" t="n">
        <x:f>Percentuais!I38</x:f>
        <x:v>0</x:v>
      </x:c>
      <x:c r="J45" s="74" t="n">
        <x:f>E45+G45+I45</x:f>
        <x:v>0</x:v>
      </x:c>
      <x:c r="K45" s="30" t="str">
        <x:f>Percentuais!J38</x:f>
        <x:v>Gestão, operação, alinhamentos e cliente</x:v>
      </x:c>
    </x:row>
    <x:row r="46">
      <x:c r="A46" s="30" t="str">
        <x:f>Percentuais!A39</x:f>
        <x:v>Custom</x:v>
      </x:c>
      <x:c r="B46" s="30" t="str">
        <x:f>Percentuais!B39</x:f>
        <x:v>Reserva Produto</x:v>
      </x:c>
      <x:c r="C46" s="30" t="str">
        <x:f>Percentuais!C39</x:f>
        <x:v>Reserva/Produto</x:v>
      </x:c>
      <x:c r="D46" s="77" t="n">
        <x:f>Percentuais!D39</x:f>
        <x:v>0.1</x:v>
      </x:c>
      <x:c r="E46" s="74" t="n">
        <x:f>Percentuais!E39</x:f>
        <x:v>0</x:v>
      </x:c>
      <x:c r="F46" s="77" t="n">
        <x:f>Percentuais!F39</x:f>
        <x:v>0.4</x:v>
      </x:c>
      <x:c r="G46" s="74" t="n">
        <x:f>Percentuais!G39</x:f>
        <x:v>0</x:v>
      </x:c>
      <x:c r="H46" s="77" t="n">
        <x:f>Percentuais!H39</x:f>
        <x:v>0.1</x:v>
      </x:c>
      <x:c r="I46" s="74" t="n">
        <x:f>Percentuais!I39</x:f>
        <x:v>0</x:v>
      </x:c>
      <x:c r="J46" s="74" t="n">
        <x:f>E46+G46+I46</x:f>
        <x:v>0</x:v>
      </x:c>
      <x:c r="K46" s="30" t="str">
        <x:f>Percentuais!J39</x:f>
        <x:v>Reserva para evolução, risco, inadimplência e produto</x:v>
      </x:c>
    </x:row>
    <x:row r="47">
      <x:c r="A47" s="98" t="str">
        <x:v>TOTAL MODELO SELECIONADO</x:v>
      </x:c>
      <x:c r="B47" s="98" t="str"/>
      <x:c r="C47" s="98" t="str"/>
      <x:c r="D47" s="99" t="n">
        <x:f>SUMIFS(D12:D46,A12:A46,Dashboard!$B$8)</x:f>
        <x:v>0.9999999999999999</x:v>
      </x:c>
      <x:c r="E47" s="100" t="n">
        <x:f>SUMIFS(E12:E46,A12:A46,Dashboard!$B$8)</x:f>
        <x:v>16800</x:v>
      </x:c>
      <x:c r="F47" s="99" t="n">
        <x:f>SUMIFS(F12:F46,A12:A46,Dashboard!$B$8)</x:f>
        <x:v>1</x:v>
      </x:c>
      <x:c r="G47" s="100" t="n">
        <x:f>SUMIFS(G12:G46,A12:A46,Dashboard!$B$8)</x:f>
        <x:v>10800</x:v>
      </x:c>
      <x:c r="H47" s="99" t="n">
        <x:f>SUMIFS(H12:H46,A12:A46,Dashboard!$B$8)</x:f>
        <x:v>1</x:v>
      </x:c>
      <x:c r="I47" s="100" t="n">
        <x:f>SUMIFS(I12:I46,A12:A46,Dashboard!$B$8)</x:f>
        <x:v>0</x:v>
      </x:c>
      <x:c r="J47" s="100" t="n">
        <x:f>SUMIFS(J12:J46,A12:A46,Dashboard!$B$8)</x:f>
        <x:v>27600</x:v>
      </x:c>
      <x:c r="K47" s="98" t="str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</x:row>
    <x:row r="20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</x:row>
    <x:row r="202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</x:row>
    <x:row r="203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</x:row>
    <x:row r="204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</x:row>
    <x:row r="205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</x:row>
    <x:row r="206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</x:row>
    <x:row r="207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</x:row>
    <x:row r="208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</x:row>
    <x:row r="209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</x:row>
    <x:row r="210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</x:row>
    <x:row r="21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</x:row>
    <x:row r="212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</x:row>
    <x:row r="213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</x:row>
    <x:row r="214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</x:row>
    <x:row r="215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</x:row>
    <x:row r="216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</x:row>
    <x:row r="217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</x:row>
    <x:row r="218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</x:row>
    <x:row r="219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</x:row>
    <x:row r="220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</x:row>
  </x:sheetData>
  <x:mergeCells>
    <x:mergeCell ref="A1:K1"/>
    <x:mergeCell ref="A2:K2"/>
    <x:mergeCell ref="A4:K4"/>
    <x:mergeCell ref="A10:K1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16" hidden="0" customWidth="1"/>
    <x:col min="4" max="4" width="14" hidden="0" customWidth="1"/>
    <x:col min="5" max="5" width="10" hidden="0" customWidth="1"/>
    <x:col min="6" max="6" width="24" hidden="0" customWidth="1"/>
    <x:col min="7" max="7" width="18" hidden="0" customWidth="1"/>
    <x:col min="8" max="8" width="42" hidden="0" customWidth="1"/>
    <x:col min="9" max="9" width="18" hidden="0" customWidth="1"/>
    <x:col min="10" max="10" width="36" hidden="0" customWidth="1"/>
  </x:cols>
  <x:sheetData>
    <x:row r="1" ht="30" customHeight="1">
      <x:c r="A1" s="68" t="str">
        <x:v>ESCOPO E BACKLOG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30"/>
    </x:row>
    <x:row r="2" ht="24" customHeight="1">
      <x:c r="A2" s="69" t="str">
        <x:v>Use para transformar proposta em tarefas rastreáveis de desenvolvimento</x:v>
      </x:c>
      <x:c r="B2" s="69"/>
      <x:c r="C2" s="69"/>
      <x:c r="D2" s="69"/>
      <x:c r="E2" s="69"/>
      <x:c r="F2" s="69"/>
      <x:c r="G2" s="69"/>
      <x:c r="H2" s="69"/>
      <x:c r="I2" s="69"/>
      <x:c r="J2" s="69"/>
      <x:c r="K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 ht="26" customHeight="1">
      <x:c r="A4" s="26" t="str">
        <x:v>Módulo</x:v>
      </x:c>
      <x:c r="B4" s="26" t="str">
        <x:v>Item</x:v>
      </x:c>
      <x:c r="C4" s="26" t="str">
        <x:v>Fase/Proposta</x:v>
      </x:c>
      <x:c r="D4" s="26" t="str">
        <x:v>Prioridade</x:v>
      </x:c>
      <x:c r="E4" s="26" t="str">
        <x:v>Esforço</x:v>
      </x:c>
      <x:c r="F4" s="26" t="str">
        <x:v>Responsável</x:v>
      </x:c>
      <x:c r="G4" s="26" t="str">
        <x:v>Status</x:v>
      </x:c>
      <x:c r="H4" s="26" t="str">
        <x:v>Critério de aceite</x:v>
      </x:c>
      <x:c r="I4" s="26" t="str">
        <x:v>Risco</x:v>
      </x:c>
      <x:c r="J4" s="26" t="str">
        <x:v>Observação</x:v>
      </x:c>
      <x:c r="K4" s="30"/>
    </x:row>
    <x:row r="5">
      <x:c r="A5" s="30" t="str">
        <x:v>Autenticação</x:v>
      </x:c>
      <x:c r="B5" s="30" t="str">
        <x:v>Login, roles e permissões</x:v>
      </x:c>
      <x:c r="C5" s="30" t="str">
        <x:v>MVP</x:v>
      </x:c>
      <x:c r="D5" s="30" t="str">
        <x:v>Crítica</x:v>
      </x:c>
      <x:c r="E5" s="30" t="str">
        <x:v>M</x:v>
      </x:c>
      <x:c r="F5" s="30" t="str">
        <x:v>Dev Backend/Infra</x:v>
      </x:c>
      <x:c r="G5" s="30" t="str">
        <x:v>Não iniciado</x:v>
      </x:c>
      <x:c r="H5" s="30" t="str">
        <x:v>Usuário acessa apenas sua área</x:v>
      </x:c>
      <x:c r="I5" s="30" t="str">
        <x:v>Segurança</x:v>
      </x:c>
      <x:c r="J5" s="30" t="str"/>
      <x:c r="K5" s="30"/>
    </x:row>
    <x:row r="6">
      <x:c r="A6" s="30" t="str">
        <x:v>Dashboard</x:v>
      </x:c>
      <x:c r="B6" s="30" t="str">
        <x:v>Visão executiva em tempo real</x:v>
      </x:c>
      <x:c r="C6" s="30" t="str">
        <x:v>MVP</x:v>
      </x:c>
      <x:c r="D6" s="30" t="str">
        <x:v>Alta</x:v>
      </x:c>
      <x:c r="E6" s="30" t="str">
        <x:v>M</x:v>
      </x:c>
      <x:c r="F6" s="30" t="str">
        <x:v>Dev Frontend/Produto</x:v>
      </x:c>
      <x:c r="G6" s="30" t="str">
        <x:v>Não iniciado</x:v>
      </x:c>
      <x:c r="H6" s="30" t="str">
        <x:v>Dados atualizam sem retrabalho manual</x:v>
      </x:c>
      <x:c r="I6" s="30" t="str">
        <x:v>Técnico</x:v>
      </x:c>
      <x:c r="J6" s="30" t="str"/>
      <x:c r="K6" s="30"/>
    </x:row>
    <x:row r="7">
      <x:c r="A7" s="30" t="str">
        <x:v>Importação</x:v>
      </x:c>
      <x:c r="B7" s="30" t="str">
        <x:v>Upload/parser de dados do cliente</x:v>
      </x:c>
      <x:c r="C7" s="30" t="str">
        <x:v>MVP</x:v>
      </x:c>
      <x:c r="D7" s="30" t="str">
        <x:v>Alta</x:v>
      </x:c>
      <x:c r="E7" s="30" t="str">
        <x:v>M</x:v>
      </x:c>
      <x:c r="F7" s="30" t="str">
        <x:v>Dev Backend/Infra</x:v>
      </x:c>
      <x:c r="G7" s="30" t="str">
        <x:v>Não iniciado</x:v>
      </x:c>
      <x:c r="H7" s="30" t="str">
        <x:v>Arquivo real importa sem erro</x:v>
      </x:c>
      <x:c r="I7" s="30" t="str">
        <x:v>Dados do cliente</x:v>
      </x:c>
      <x:c r="J7" s="30" t="str"/>
      <x:c r="K7" s="30"/>
    </x:row>
    <x:row r="8">
      <x:c r="A8" s="30" t="str">
        <x:v>Operação</x:v>
      </x:c>
      <x:c r="B8" s="30" t="str">
        <x:v>Fluxo principal do usuário final</x:v>
      </x:c>
      <x:c r="C8" s="30" t="str">
        <x:v>MVP</x:v>
      </x:c>
      <x:c r="D8" s="30" t="str">
        <x:v>Crítica</x:v>
      </x:c>
      <x:c r="E8" s="30" t="str">
        <x:v>G</x:v>
      </x:c>
      <x:c r="F8" s="30" t="str">
        <x:v>Dev Frontend/Produto</x:v>
      </x:c>
      <x:c r="G8" s="30" t="str">
        <x:v>Não iniciado</x:v>
      </x:c>
      <x:c r="H8" s="30" t="str">
        <x:v>Usuário conclui tarefa core sem suporte</x:v>
      </x:c>
      <x:c r="I8" s="30" t="str">
        <x:v>Adoção</x:v>
      </x:c>
      <x:c r="J8" s="30" t="str"/>
      <x:c r="K8" s="30"/>
    </x:row>
    <x:row r="9">
      <x:c r="A9" s="30" t="str">
        <x:v>Offline/Resiliência</x:v>
      </x:c>
      <x:c r="B9" s="30" t="str">
        <x:v>Funcionamento com falha de internet</x:v>
      </x:c>
      <x:c r="C9" s="30" t="str">
        <x:v>MVP</x:v>
      </x:c>
      <x:c r="D9" s="30" t="str">
        <x:v>Alta</x:v>
      </x:c>
      <x:c r="E9" s="30" t="str">
        <x:v>G</x:v>
      </x:c>
      <x:c r="F9" s="30" t="str">
        <x:v>Dev Backend/Infra</x:v>
      </x:c>
      <x:c r="G9" s="30" t="str">
        <x:v>Não iniciado</x:v>
      </x:c>
      <x:c r="H9" s="30" t="str">
        <x:v>Dado sincroniza após voltar sinal</x:v>
      </x:c>
      <x:c r="I9" s="30" t="str">
        <x:v>Técnico</x:v>
      </x:c>
      <x:c r="J9" s="30" t="str">
        <x:v>Se aplicável</x:v>
      </x:c>
      <x:c r="K9" s="30"/>
    </x:row>
    <x:row r="10">
      <x:c r="A10" s="30" t="str">
        <x:v>Relatórios</x:v>
      </x:c>
      <x:c r="B10" s="30" t="str">
        <x:v>Exportações e filtros</x:v>
      </x:c>
      <x:c r="C10" s="30" t="str">
        <x:v>Evolução</x:v>
      </x:c>
      <x:c r="D10" s="30" t="str">
        <x:v>Média</x:v>
      </x:c>
      <x:c r="E10" s="30" t="str">
        <x:v>M</x:v>
      </x:c>
      <x:c r="F10" s="30" t="str">
        <x:v>Dev Backend/Infra</x:v>
      </x:c>
      <x:c r="G10" s="30" t="str">
        <x:v>Não iniciado</x:v>
      </x:c>
      <x:c r="H10" s="30" t="str">
        <x:v>CSV/XLSX abre corretamente</x:v>
      </x:c>
      <x:c r="I10" s="30" t="str">
        <x:v>Escopo</x:v>
      </x:c>
      <x:c r="J10" s="30" t="str"/>
      <x:c r="K10" s="30"/>
    </x:row>
    <x:row r="11">
      <x:c r="A11" s="30" t="str">
        <x:v>IA/Automação</x:v>
      </x:c>
      <x:c r="B11" s="30" t="str">
        <x:v>Agente, RAG ou automação inteligente</x:v>
      </x:c>
      <x:c r="C11" s="30" t="str">
        <x:v>Evolução</x:v>
      </x:c>
      <x:c r="D11" s="30" t="str">
        <x:v>Média</x:v>
      </x:c>
      <x:c r="E11" s="30" t="str">
        <x:v>G</x:v>
      </x:c>
      <x:c r="F11" s="30" t="str">
        <x:v>Arquitetura/QA</x:v>
      </x:c>
      <x:c r="G11" s="30" t="str">
        <x:v>Não iniciado</x:v>
      </x:c>
      <x:c r="H11" s="30" t="str">
        <x:v>Resposta validada por métrica</x:v>
      </x:c>
      <x:c r="I11" s="30" t="str">
        <x:v>Técnico</x:v>
      </x:c>
      <x:c r="J11" s="30" t="str">
        <x:v>Se aplicável</x:v>
      </x:c>
      <x:c r="K11" s="30"/>
    </x:row>
    <x:row r="12">
      <x:c r="A12" s="30" t="str">
        <x:v>Admin</x:v>
      </x:c>
      <x:c r="B12" s="30" t="str">
        <x:v>Cadastros e parametrizações</x:v>
      </x:c>
      <x:c r="C12" s="30" t="str">
        <x:v>MVP</x:v>
      </x:c>
      <x:c r="D12" s="30" t="str">
        <x:v>Média</x:v>
      </x:c>
      <x:c r="E12" s="30" t="str">
        <x:v>M</x:v>
      </x:c>
      <x:c r="F12" s="30" t="str">
        <x:v>Dev Frontend/Produto</x:v>
      </x:c>
      <x:c r="G12" s="30" t="str">
        <x:v>Não iniciado</x:v>
      </x:c>
      <x:c r="H12" s="30" t="str">
        <x:v>Admin altera sem dev</x:v>
      </x:c>
      <x:c r="I12" s="30" t="str">
        <x:v>Operacional</x:v>
      </x:c>
      <x:c r="J12" s="30" t="str"/>
      <x:c r="K12" s="30"/>
    </x:row>
    <x:row r="13">
      <x:c r="A13" s="30" t="str">
        <x:v>Suporte</x:v>
      </x:c>
      <x:c r="B13" s="30" t="str">
        <x:v>Monitoramento, logs e backups</x:v>
      </x:c>
      <x:c r="C13" s="30" t="str">
        <x:v>MVP</x:v>
      </x:c>
      <x:c r="D13" s="30" t="str">
        <x:v>Alta</x:v>
      </x:c>
      <x:c r="E13" s="30" t="str">
        <x:v>M</x:v>
      </x:c>
      <x:c r="F13" s="30" t="str">
        <x:v>Dev Backend/Infra</x:v>
      </x:c>
      <x:c r="G13" s="30" t="str">
        <x:v>Não iniciado</x:v>
      </x:c>
      <x:c r="H13" s="30" t="str">
        <x:v>Falha rastreável em logs</x:v>
      </x:c>
      <x:c r="I13" s="30" t="str">
        <x:v>Operacional</x:v>
      </x:c>
      <x:c r="J13" s="30" t="str"/>
      <x:c r="K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</x:row>
    <x:row r="20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</x:row>
    <x:row r="202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</x:row>
    <x:row r="203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</x:row>
    <x:row r="204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</x:row>
    <x:row r="205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</x:row>
    <x:row r="206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</x:row>
    <x:row r="207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</x:row>
    <x:row r="208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</x:row>
    <x:row r="209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</x:row>
    <x:row r="210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</x:row>
    <x:row r="21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</x:row>
    <x:row r="212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</x:row>
    <x:row r="213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</x:row>
    <x:row r="214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</x:row>
    <x:row r="215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</x:row>
    <x:row r="216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</x:row>
    <x:row r="217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</x:row>
    <x:row r="218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</x:row>
    <x:row r="219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</x:row>
    <x:row r="220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</x:row>
  </x:sheetData>
  <x:mergeCells>
    <x:mergeCell ref="A1:J1"/>
    <x:mergeCell ref="A2:J2"/>
  </x:mergeCells>
  <x:dataValidations count="2">
    <x:dataValidation type="list" sqref="D5:D14">
      <x:formula1>Listas!$D$5:$D$8</x:formula1>
    </x:dataValidation>
    <x:dataValidation type="list" sqref="G5:G14">
      <x:formula1>Listas!$E$5:$E$11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3c5fd026c04bd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6" hidden="0" customWidth="1"/>
    <x:col min="4" max="4" width="24" hidden="0" customWidth="1"/>
    <x:col min="5" max="5" width="36" hidden="0" customWidth="1"/>
    <x:col min="6" max="6" width="20" hidden="0" customWidth="1"/>
    <x:col min="7" max="7" width="10" hidden="0" customWidth="1"/>
    <x:col min="8" max="8" width="16" hidden="0" customWidth="1"/>
    <x:col min="9" max="9" width="18" hidden="0" customWidth="1"/>
    <x:col min="10" max="10" width="38" hidden="0" customWidth="1"/>
  </x:cols>
  <x:sheetData>
    <x:row r="1" ht="30" customHeight="1">
      <x:c r="A1" s="68" t="str">
        <x:v>CRONOGRAMA E MARCOS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30"/>
    </x:row>
    <x:row r="2" ht="24" customHeight="1">
      <x:c r="A2" s="69" t="str">
        <x:v>Conecta execução, entregáveis e pagamento</x:v>
      </x:c>
      <x:c r="B2" s="69"/>
      <x:c r="C2" s="69"/>
      <x:c r="D2" s="69"/>
      <x:c r="E2" s="69"/>
      <x:c r="F2" s="69"/>
      <x:c r="G2" s="69"/>
      <x:c r="H2" s="69"/>
      <x:c r="I2" s="69"/>
      <x:c r="J2" s="69"/>
      <x:c r="K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 ht="26" customHeight="1">
      <x:c r="A4" s="26" t="str">
        <x:v>Marco</x:v>
      </x:c>
      <x:c r="B4" s="26" t="str">
        <x:v>Fase</x:v>
      </x:c>
      <x:c r="C4" s="26" t="str">
        <x:v>Data prevista</x:v>
      </x:c>
      <x:c r="D4" s="26" t="str">
        <x:v>Responsável</x:v>
      </x:c>
      <x:c r="E4" s="26" t="str">
        <x:v>Entregável</x:v>
      </x:c>
      <x:c r="F4" s="26" t="str">
        <x:v>Pagamento vinculado</x:v>
      </x:c>
      <x:c r="G4" s="26" t="str">
        <x:v>%</x:v>
      </x:c>
      <x:c r="H4" s="26" t="str">
        <x:v>Valor</x:v>
      </x:c>
      <x:c r="I4" s="26" t="str">
        <x:v>Status</x:v>
      </x:c>
      <x:c r="J4" s="26" t="str">
        <x:v>Observação</x:v>
      </x:c>
      <x:c r="K4" s="30"/>
    </x:row>
    <x:row r="5">
      <x:c r="A5" s="30" t="str">
        <x:v>M0</x:v>
      </x:c>
      <x:c r="B5" s="30" t="str">
        <x:v>Assinatura + sinal</x:v>
      </x:c>
      <x:c r="C5" s="96" t="n">
        <x:v>46204</x:v>
      </x:c>
      <x:c r="D5" s="30" t="str">
        <x:v>Comercial/Account</x:v>
      </x:c>
      <x:c r="E5" s="30" t="str">
        <x:v>Contrato assinado + kickoff</x:v>
      </x:c>
      <x:c r="F5" s="30" t="str">
        <x:v>Sinal</x:v>
      </x:c>
      <x:c r="G5" s="77" t="n">
        <x:f>IF(Dashboard!E11=0,0,Dashboard!E5/Dashboard!E11)</x:f>
        <x:v>0.17857142857142858</x:v>
      </x:c>
      <x:c r="H5" s="74" t="n">
        <x:f>Dashboard!E5</x:f>
        <x:v>3000</x:v>
      </x:c>
      <x:c r="I5" s="30" t="str">
        <x:v>Não iniciado</x:v>
      </x:c>
      <x:c r="J5" s="30" t="str"/>
      <x:c r="K5" s="30"/>
    </x:row>
    <x:row r="6">
      <x:c r="A6" s="30" t="str">
        <x:v>M1</x:v>
      </x:c>
      <x:c r="B6" s="30" t="str">
        <x:v>Discovery técnico</x:v>
      </x:c>
      <x:c r="C6" s="96" t="n">
        <x:v>46206</x:v>
      </x:c>
      <x:c r="D6" s="30" t="str">
        <x:v>Arquitetura/QA</x:v>
      </x:c>
      <x:c r="E6" s="30" t="str">
        <x:v>Escopo fechado e dados reais</x:v>
      </x:c>
      <x:c r="F6" s="30" t="str">
        <x:v>Não</x:v>
      </x:c>
      <x:c r="G6" s="77" t="n">
        <x:f>0</x:f>
        <x:v>0</x:v>
      </x:c>
      <x:c r="H6" s="74" t="n">
        <x:f>0</x:f>
        <x:v>0</x:v>
      </x:c>
      <x:c r="I6" s="30" t="str">
        <x:v>Não iniciado</x:v>
      </x:c>
      <x:c r="J6" s="30" t="str"/>
      <x:c r="K6" s="30"/>
    </x:row>
    <x:row r="7">
      <x:c r="A7" s="30" t="str">
        <x:v>M2</x:v>
      </x:c>
      <x:c r="B7" s="30" t="str">
        <x:v>Primeira versão funcional</x:v>
      </x:c>
      <x:c r="C7" s="96" t="n">
        <x:v>46215</x:v>
      </x:c>
      <x:c r="D7" s="30" t="str">
        <x:v>Dev Frontend/Produto</x:v>
      </x:c>
      <x:c r="E7" s="30" t="str">
        <x:v>Core funcionando em staging</x:v>
      </x:c>
      <x:c r="F7" s="30" t="str">
        <x:v>Intermediário</x:v>
      </x:c>
      <x:c r="G7" s="77" t="n">
        <x:f>IF(Dashboard!E11=0,0,Dashboard!E7/Dashboard!E11)</x:f>
        <x:v>0</x:v>
      </x:c>
      <x:c r="H7" s="74" t="n">
        <x:f>Dashboard!E7</x:f>
        <x:v>0</x:v>
      </x:c>
      <x:c r="I7" s="30" t="str">
        <x:v>Não iniciado</x:v>
      </x:c>
      <x:c r="J7" s="30" t="str">
        <x:v>Se existir parcela intermediária</x:v>
      </x:c>
      <x:c r="K7" s="30"/>
    </x:row>
    <x:row r="8">
      <x:c r="A8" s="30" t="str">
        <x:v>M3</x:v>
      </x:c>
      <x:c r="B8" s="30" t="str">
        <x:v>Homologação</x:v>
      </x:c>
      <x:c r="C8" s="96" t="n">
        <x:v>46225</x:v>
      </x:c>
      <x:c r="D8" s="30" t="str">
        <x:v>Gestão/PM</x:v>
      </x:c>
      <x:c r="E8" s="30" t="str">
        <x:v>Cliente validou critérios</x:v>
      </x:c>
      <x:c r="F8" s="30" t="str">
        <x:v>Não</x:v>
      </x:c>
      <x:c r="G8" s="77" t="n">
        <x:f>0</x:f>
        <x:v>0</x:v>
      </x:c>
      <x:c r="H8" s="74" t="n">
        <x:f>0</x:f>
        <x:v>0</x:v>
      </x:c>
      <x:c r="I8" s="30" t="str">
        <x:v>Não iniciado</x:v>
      </x:c>
      <x:c r="J8" s="30" t="str"/>
      <x:c r="K8" s="30"/>
    </x:row>
    <x:row r="9">
      <x:c r="A9" s="30" t="str">
        <x:v>M4</x:v>
      </x:c>
      <x:c r="B9" s="30" t="str">
        <x:v>Go-live</x:v>
      </x:c>
      <x:c r="C9" s="96" t="n">
        <x:v>46231</x:v>
      </x:c>
      <x:c r="D9" s="30" t="str">
        <x:v>Dev Backend/Infra</x:v>
      </x:c>
      <x:c r="E9" s="30" t="str">
        <x:v>Produção ativa</x:v>
      </x:c>
      <x:c r="F9" s="30" t="str">
        <x:v>Entrega</x:v>
      </x:c>
      <x:c r="G9" s="77" t="n">
        <x:f>IF(Dashboard!E11=0,0,Dashboard!E6/Dashboard!E11)</x:f>
        <x:v>0.17857142857142858</x:v>
      </x:c>
      <x:c r="H9" s="74" t="n">
        <x:f>Dashboard!E6</x:f>
        <x:v>3000</x:v>
      </x:c>
      <x:c r="I9" s="30" t="str">
        <x:v>Não iniciado</x:v>
      </x:c>
      <x:c r="J9" s="30" t="str"/>
      <x:c r="K9" s="30"/>
    </x:row>
    <x:row r="10">
      <x:c r="A10" s="30" t="str">
        <x:v>M5</x:v>
      </x:c>
      <x:c r="B10" s="30" t="str">
        <x:v>Recorrência</x:v>
      </x:c>
      <x:c r="C10" s="96" t="n">
        <x:v>46235</x:v>
      </x:c>
      <x:c r="D10" s="30" t="str">
        <x:v>UzzAI Empresa</x:v>
      </x:c>
      <x:c r="E10" s="30" t="str">
        <x:v>Suporte + infra mensal</x:v>
      </x:c>
      <x:c r="F10" s="30" t="str">
        <x:v>Mensalidade</x:v>
      </x:c>
      <x:c r="G10" s="77" t="n">
        <x:f>0</x:f>
        <x:v>0</x:v>
      </x:c>
      <x:c r="H10" s="74" t="n">
        <x:f>Dashboard!E8</x:f>
        <x:v>450</x:v>
      </x:c>
      <x:c r="I10" s="30" t="str">
        <x:v>Não iniciado</x:v>
      </x:c>
      <x:c r="J10" s="30" t="str">
        <x:v>Repetir mensalmente</x:v>
      </x:c>
      <x:c r="K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</x:row>
    <x:row r="20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</x:row>
    <x:row r="202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</x:row>
    <x:row r="203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</x:row>
    <x:row r="204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</x:row>
    <x:row r="205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</x:row>
    <x:row r="206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</x:row>
    <x:row r="207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</x:row>
    <x:row r="208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</x:row>
    <x:row r="209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</x:row>
    <x:row r="210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</x:row>
    <x:row r="21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</x:row>
    <x:row r="212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</x:row>
    <x:row r="213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</x:row>
    <x:row r="214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</x:row>
    <x:row r="215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</x:row>
    <x:row r="216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</x:row>
    <x:row r="217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</x:row>
    <x:row r="218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</x:row>
    <x:row r="219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</x:row>
    <x:row r="220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</x:row>
  </x:sheetData>
  <x:mergeCells>
    <x:mergeCell ref="A1:J1"/>
    <x:mergeCell ref="A2:J2"/>
  </x:mergeCells>
  <x:dataValidations count="1">
    <x:dataValidation type="list" sqref="I5:I10">
      <x:formula1>Listas!$E$5:$E$11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18" hidden="0" customWidth="1"/>
    <x:col min="4" max="4" width="10" hidden="0" customWidth="1"/>
    <x:col min="5" max="5" width="10" hidden="0" customWidth="1"/>
    <x:col min="6" max="6" width="12" hidden="0" customWidth="1"/>
    <x:col min="7" max="7" width="24" hidden="0" customWidth="1"/>
    <x:col min="8" max="8" width="48" hidden="0" customWidth="1"/>
    <x:col min="9" max="9" width="20" hidden="0" customWidth="1"/>
  </x:cols>
  <x:sheetData>
    <x:row r="1" ht="30" customHeight="1">
      <x:c r="A1" s="68" t="str">
        <x:v>GESTÃO DE RISCOS</x:v>
      </x:c>
      <x:c r="B1" s="68"/>
      <x:c r="C1" s="68"/>
      <x:c r="D1" s="68"/>
      <x:c r="E1" s="68"/>
      <x:c r="F1" s="68"/>
      <x:c r="G1" s="68"/>
      <x:c r="H1" s="68"/>
      <x:c r="I1" s="68"/>
      <x:c r="J1" s="30"/>
      <x:c r="K1" s="30"/>
    </x:row>
    <x:row r="2" ht="24" customHeight="1">
      <x:c r="A2" s="69" t="str">
        <x:v>Probabilidade × impacto, mitigação e dono</x:v>
      </x:c>
      <x:c r="B2" s="69"/>
      <x:c r="C2" s="69"/>
      <x:c r="D2" s="69"/>
      <x:c r="E2" s="69"/>
      <x:c r="F2" s="69"/>
      <x:c r="G2" s="69"/>
      <x:c r="H2" s="69"/>
      <x:c r="I2" s="69"/>
      <x:c r="J2" s="30"/>
      <x:c r="K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 ht="26" customHeight="1">
      <x:c r="A4" s="26" t="str">
        <x:v>#</x:v>
      </x:c>
      <x:c r="B4" s="26" t="str">
        <x:v>Risco</x:v>
      </x:c>
      <x:c r="C4" s="26" t="str">
        <x:v>Categoria</x:v>
      </x:c>
      <x:c r="D4" s="26" t="str">
        <x:v>Prob.</x:v>
      </x:c>
      <x:c r="E4" s="26" t="str">
        <x:v>Impacto</x:v>
      </x:c>
      <x:c r="F4" s="26" t="str">
        <x:v>Severidade</x:v>
      </x:c>
      <x:c r="G4" s="26" t="str">
        <x:v>Dono</x:v>
      </x:c>
      <x:c r="H4" s="26" t="str">
        <x:v>Mitigação</x:v>
      </x:c>
      <x:c r="I4" s="26" t="str">
        <x:v>Status</x:v>
      </x:c>
      <x:c r="J4" s="30"/>
      <x:c r="K4" s="30"/>
    </x:row>
    <x:row r="5">
      <x:c r="A5" s="30" t="str">
        <x:v>R-001</x:v>
      </x:c>
      <x:c r="B5" s="30" t="str">
        <x:v>Escopo aberto / cliente pede features novas</x:v>
      </x:c>
      <x:c r="C5" s="30" t="str">
        <x:v>Escopo</x:v>
      </x:c>
      <x:c r="D5" s="30" t="n">
        <x:v>4</x:v>
      </x:c>
      <x:c r="E5" s="30" t="n">
        <x:v>5</x:v>
      </x:c>
      <x:c r="F5" s="30" t="n">
        <x:f>D5*E5</x:f>
        <x:v>20</x:v>
      </x:c>
      <x:c r="G5" s="30" t="str">
        <x:v>Gestão/PM</x:v>
      </x:c>
      <x:c r="H5" s="30" t="str">
        <x:v>Congelar MVP e usar change request</x:v>
      </x:c>
      <x:c r="I5" s="30" t="str">
        <x:v>Em acompanhamento</x:v>
      </x:c>
      <x:c r="J5" s="30"/>
      <x:c r="K5" s="30"/>
    </x:row>
    <x:row r="6">
      <x:c r="A6" s="30" t="str">
        <x:v>R-002</x:v>
      </x:c>
      <x:c r="B6" s="30" t="str">
        <x:v>Cliente demora a enviar dados/acessos</x:v>
      </x:c>
      <x:c r="C6" s="30" t="str">
        <x:v>Operacional</x:v>
      </x:c>
      <x:c r="D6" s="30" t="n">
        <x:v>4</x:v>
      </x:c>
      <x:c r="E6" s="30" t="n">
        <x:v>4</x:v>
      </x:c>
      <x:c r="F6" s="30" t="n">
        <x:f>D6*E6</x:f>
        <x:v>16</x:v>
      </x:c>
      <x:c r="G6" s="30" t="str">
        <x:v>Comercial/Account</x:v>
      </x:c>
      <x:c r="H6" s="30" t="str">
        <x:v>Checklist de pré-início no contrato</x:v>
      </x:c>
      <x:c r="I6" s="30" t="str">
        <x:v>Em acompanhamento</x:v>
      </x:c>
      <x:c r="J6" s="30"/>
      <x:c r="K6" s="30"/>
    </x:row>
    <x:row r="7">
      <x:c r="A7" s="30" t="str">
        <x:v>R-003</x:v>
      </x:c>
      <x:c r="B7" s="30" t="str">
        <x:v>Prazo comercial incompatível com escopo</x:v>
      </x:c>
      <x:c r="C7" s="30" t="str">
        <x:v>Comercial</x:v>
      </x:c>
      <x:c r="D7" s="30" t="n">
        <x:v>3</x:v>
      </x:c>
      <x:c r="E7" s="30" t="n">
        <x:v>5</x:v>
      </x:c>
      <x:c r="F7" s="30" t="n">
        <x:f>D7*E7</x:f>
        <x:v>15</x:v>
      </x:c>
      <x:c r="G7" s="30" t="str">
        <x:v>UzzAI Empresa</x:v>
      </x:c>
      <x:c r="H7" s="30" t="str">
        <x:v>Dividir MVP e evolução</x:v>
      </x:c>
      <x:c r="I7" s="30" t="str">
        <x:v>Em acompanhamento</x:v>
      </x:c>
      <x:c r="J7" s="30"/>
      <x:c r="K7" s="30"/>
    </x:row>
    <x:row r="8">
      <x:c r="A8" s="30" t="str">
        <x:v>R-004</x:v>
      </x:c>
      <x:c r="B8" s="30" t="str">
        <x:v>Custo de infra/API acima da mensalidade</x:v>
      </x:c>
      <x:c r="C8" s="30" t="str">
        <x:v>Financeiro</x:v>
      </x:c>
      <x:c r="D8" s="30" t="n">
        <x:v>2</x:v>
      </x:c>
      <x:c r="E8" s="30" t="n">
        <x:v>4</x:v>
      </x:c>
      <x:c r="F8" s="30" t="n">
        <x:f>D8*E8</x:f>
        <x:v>8</x:v>
      </x:c>
      <x:c r="G8" s="30" t="str">
        <x:v>Dev Backend/Infra</x:v>
      </x:c>
      <x:c r="H8" s="30" t="str">
        <x:v>Monitorar consumo e limitar uso</x:v>
      </x:c>
      <x:c r="I8" s="30" t="str">
        <x:v>Em acompanhamento</x:v>
      </x:c>
      <x:c r="J8" s="30"/>
      <x:c r="K8" s="30"/>
    </x:row>
    <x:row r="9">
      <x:c r="A9" s="30" t="str">
        <x:v>R-005</x:v>
      </x:c>
      <x:c r="B9" s="30" t="str">
        <x:v>Baixa adoção dos usuários finais</x:v>
      </x:c>
      <x:c r="C9" s="30" t="str">
        <x:v>Adoção</x:v>
      </x:c>
      <x:c r="D9" s="30" t="n">
        <x:v>4</x:v>
      </x:c>
      <x:c r="E9" s="30" t="n">
        <x:v>4</x:v>
      </x:c>
      <x:c r="F9" s="30" t="n">
        <x:f>D9*E9</x:f>
        <x:v>16</x:v>
      </x:c>
      <x:c r="G9" s="30" t="str">
        <x:v>Comercial/Account</x:v>
      </x:c>
      <x:c r="H9" s="30" t="str">
        <x:v>Treinamento, piloto e UX simples</x:v>
      </x:c>
      <x:c r="I9" s="30" t="str">
        <x:v>Em acompanhamento</x:v>
      </x:c>
      <x:c r="J9" s="30"/>
      <x:c r="K9" s="30"/>
    </x:row>
    <x:row r="10">
      <x:c r="A10" s="30" t="str">
        <x:v>R-006</x:v>
      </x:c>
      <x:c r="B10" s="30" t="str">
        <x:v>Bug crítico em produção</x:v>
      </x:c>
      <x:c r="C10" s="30" t="str">
        <x:v>Técnico</x:v>
      </x:c>
      <x:c r="D10" s="30" t="n">
        <x:v>3</x:v>
      </x:c>
      <x:c r="E10" s="30" t="n">
        <x:v>5</x:v>
      </x:c>
      <x:c r="F10" s="30" t="n">
        <x:f>D10*E10</x:f>
        <x:v>15</x:v>
      </x:c>
      <x:c r="G10" s="30" t="str">
        <x:v>Arquitetura/QA</x:v>
      </x:c>
      <x:c r="H10" s="30" t="str">
        <x:v>Testes, logs, rollback e suporte</x:v>
      </x:c>
      <x:c r="I10" s="30" t="str">
        <x:v>Em acompanhamento</x:v>
      </x:c>
      <x:c r="J10" s="30"/>
      <x:c r="K10" s="30"/>
    </x:row>
    <x:row r="11">
      <x:c r="A11" s="30" t="str">
        <x:v>R-007</x:v>
      </x:c>
      <x:c r="B11" s="30" t="str">
        <x:v>Inadimplência / cancelamento</x:v>
      </x:c>
      <x:c r="C11" s="30" t="str">
        <x:v>Financeiro</x:v>
      </x:c>
      <x:c r="D11" s="30" t="n">
        <x:v>2</x:v>
      </x:c>
      <x:c r="E11" s="30" t="n">
        <x:v>5</x:v>
      </x:c>
      <x:c r="F11" s="30" t="n">
        <x:f>D11*E11</x:f>
        <x:v>10</x:v>
      </x:c>
      <x:c r="G11" s="30" t="str">
        <x:v>UzzAI Empresa</x:v>
      </x:c>
      <x:c r="H11" s="30" t="str">
        <x:v>Contrato mínimo e política de suspensão</x:v>
      </x:c>
      <x:c r="I11" s="30" t="str">
        <x:v>Em acompanhamento</x:v>
      </x:c>
      <x:c r="J11" s="30"/>
      <x:c r="K11" s="30"/>
    </x:row>
    <x:row r="12">
      <x:c r="A12" s="30" t="str">
        <x:v>R-008</x:v>
      </x:c>
      <x:c r="B12" s="30" t="str">
        <x:v>Dados sensíveis / LGPD</x:v>
      </x:c>
      <x:c r="C12" s="30" t="str">
        <x:v>Segurança/LGPD</x:v>
      </x:c>
      <x:c r="D12" s="30" t="n">
        <x:v>3</x:v>
      </x:c>
      <x:c r="E12" s="30" t="n">
        <x:v>5</x:v>
      </x:c>
      <x:c r="F12" s="30" t="n">
        <x:f>D12*E12</x:f>
        <x:v>15</x:v>
      </x:c>
      <x:c r="G12" s="30" t="str">
        <x:v>Arquitetura/QA</x:v>
      </x:c>
      <x:c r="H12" s="30" t="str">
        <x:v>RLS, termos, retenção e acesso mínimo</x:v>
      </x:c>
      <x:c r="I12" s="30" t="str">
        <x:v>Em acompanhamento</x:v>
      </x:c>
      <x:c r="J12" s="30"/>
      <x:c r="K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</x:row>
    <x:row r="20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</x:row>
    <x:row r="202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</x:row>
    <x:row r="203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</x:row>
    <x:row r="204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</x:row>
    <x:row r="205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</x:row>
    <x:row r="206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</x:row>
    <x:row r="207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</x:row>
    <x:row r="208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</x:row>
    <x:row r="209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</x:row>
    <x:row r="210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</x:row>
    <x:row r="21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</x:row>
    <x:row r="212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</x:row>
    <x:row r="213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</x:row>
    <x:row r="214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</x:row>
    <x:row r="215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</x:row>
    <x:row r="216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</x:row>
    <x:row r="217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</x:row>
    <x:row r="218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</x:row>
    <x:row r="219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</x:row>
    <x:row r="220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</x:row>
  </x:sheetData>
  <x:mergeCells>
    <x:mergeCell ref="A1:I1"/>
    <x:mergeCell ref="A2:I2"/>
  </x:mergeCells>
  <x:conditionalFormatting sqref="F5:F12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dataValidations count="2">
    <x:dataValidation type="list" sqref="C5:C12">
      <x:formula1>Listas!$H$5:$H$12</x:formula1>
    </x:dataValidation>
    <x:dataValidation type="list" sqref="D5:E12">
      <x:formula1>Listas!$F$5:$F$9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62668d437a4a5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6" hidden="0" customWidth="1"/>
    <x:col min="4" max="4" width="28" hidden="0" customWidth="1"/>
    <x:col min="5" max="5" width="24" hidden="0" customWidth="1"/>
    <x:col min="6" max="6" width="42" hidden="0" customWidth="1"/>
  </x:cols>
  <x:sheetData>
    <x:row r="1" ht="30" customHeight="1">
      <x:c r="A1" s="68" t="str">
        <x:v>CONTRATO, GOVERNANÇA E SLA</x:v>
      </x:c>
      <x:c r="B1" s="68"/>
      <x:c r="C1" s="68"/>
      <x:c r="D1" s="68"/>
      <x:c r="E1" s="68"/>
      <x:c r="F1" s="68"/>
      <x:c r="G1" s="30"/>
      <x:c r="H1" s="30"/>
      <x:c r="I1" s="30"/>
      <x:c r="J1" s="30"/>
      <x:c r="K1" s="30"/>
    </x:row>
    <x:row r="2" ht="24" customHeight="1">
      <x:c r="A2" s="69" t="str">
        <x:v>Checklist para proposta, contrato e operação recorrente</x:v>
      </x:c>
      <x:c r="B2" s="69"/>
      <x:c r="C2" s="69"/>
      <x:c r="D2" s="69"/>
      <x:c r="E2" s="69"/>
      <x:c r="F2" s="69"/>
      <x:c r="G2" s="30"/>
      <x:c r="H2" s="30"/>
      <x:c r="I2" s="30"/>
      <x:c r="J2" s="30"/>
      <x:c r="K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 ht="26" customHeight="1">
      <x:c r="A4" s="26" t="str">
        <x:v>Bloco</x:v>
      </x:c>
      <x:c r="B4" s="26" t="str">
        <x:v>Decisão padrão</x:v>
      </x:c>
      <x:c r="C4" s="26" t="str">
        <x:v>Campo editável</x:v>
      </x:c>
      <x:c r="D4" s="26" t="str">
        <x:v>Risco se ignorar</x:v>
      </x:c>
      <x:c r="E4" s="26" t="str">
        <x:v>Responsável</x:v>
      </x:c>
      <x:c r="F4" s="26" t="str">
        <x:v>Observação</x:v>
      </x:c>
      <x:c r="G4" s="30"/>
      <x:c r="H4" s="30"/>
      <x:c r="I4" s="30"/>
      <x:c r="J4" s="30"/>
      <x:c r="K4" s="30"/>
    </x:row>
    <x:row r="5">
      <x:c r="A5" s="30" t="str">
        <x:v>Escopo</x:v>
      </x:c>
      <x:c r="B5" s="30" t="str">
        <x:v>Anexar escopo/backlog ao contrato</x:v>
      </x:c>
      <x:c r="C5" s="30" t="str">
        <x:v>[link/versão]</x:v>
      </x:c>
      <x:c r="D5" s="30" t="str">
        <x:v>Feature creep</x:v>
      </x:c>
      <x:c r="E5" s="30" t="str">
        <x:v>Gestão/PM</x:v>
      </x:c>
      <x:c r="F5" s="30" t="str">
        <x:v>MVP deve ter critérios de aceite</x:v>
      </x:c>
      <x:c r="G5" s="30"/>
      <x:c r="H5" s="30"/>
      <x:c r="I5" s="30"/>
      <x:c r="J5" s="30"/>
      <x:c r="K5" s="30"/>
    </x:row>
    <x:row r="6">
      <x:c r="A6" s="30" t="str">
        <x:v>Pagamento</x:v>
      </x:c>
      <x:c r="B6" s="30" t="str">
        <x:v>Parcelas vinculadas a marcos</x:v>
      </x:c>
      <x:c r="C6" s="30" t="str">
        <x:v>[modelo escolhido]</x:v>
      </x:c>
      <x:c r="D6" s="30" t="str">
        <x:v>Caixa negativo</x:v>
      </x:c>
      <x:c r="E6" s="30" t="str">
        <x:v>UzzAI Empresa</x:v>
      </x:c>
      <x:c r="F6" s="30" t="str">
        <x:v>Usar aba Cronograma</x:v>
      </x:c>
      <x:c r="G6" s="30"/>
      <x:c r="H6" s="30"/>
      <x:c r="I6" s="30"/>
      <x:c r="J6" s="30"/>
      <x:c r="K6" s="30"/>
    </x:row>
    <x:row r="7">
      <x:c r="A7" s="30" t="str">
        <x:v>Propriedade intelectual</x:v>
      </x:c>
      <x:c r="B7" s="30" t="str">
        <x:v>Licença de uso ou transferência ao final</x:v>
      </x:c>
      <x:c r="C7" s="30" t="str">
        <x:v>[definir]</x:v>
      </x:c>
      <x:c r="D7" s="30" t="str">
        <x:v>Perda de produto/SaaS</x:v>
      </x:c>
      <x:c r="E7" s="30" t="str">
        <x:v>UzzAI Empresa</x:v>
      </x:c>
      <x:c r="F7" s="30" t="str">
        <x:v>Separar código base x customização</x:v>
      </x:c>
      <x:c r="G7" s="30"/>
      <x:c r="H7" s="30"/>
      <x:c r="I7" s="30"/>
      <x:c r="J7" s="30"/>
      <x:c r="K7" s="30"/>
    </x:row>
    <x:row r="8">
      <x:c r="A8" s="30" t="str">
        <x:v>Suporte</x:v>
      </x:c>
      <x:c r="B8" s="30" t="str">
        <x:v>30 dias prioritário + recorrência</x:v>
      </x:c>
      <x:c r="C8" s="30" t="str">
        <x:v>[SLA]</x:v>
      </x:c>
      <x:c r="D8" s="30" t="str">
        <x:v>Suporte sem cobertura</x:v>
      </x:c>
      <x:c r="E8" s="30" t="str">
        <x:v>Comercial/Account</x:v>
      </x:c>
      <x:c r="F8" s="30" t="str">
        <x:v>Mensalidade deve cobrir operação</x:v>
      </x:c>
      <x:c r="G8" s="30"/>
      <x:c r="H8" s="30"/>
      <x:c r="I8" s="30"/>
      <x:c r="J8" s="30"/>
      <x:c r="K8" s="30"/>
    </x:row>
    <x:row r="9">
      <x:c r="A9" s="30" t="str">
        <x:v>Change request</x:v>
      </x:c>
      <x:c r="B9" s="30" t="str">
        <x:v>Tudo fora do MVP vira proposta separada</x:v>
      </x:c>
      <x:c r="C9" s="30" t="str">
        <x:v>[processo]</x:v>
      </x:c>
      <x:c r="D9" s="30" t="str">
        <x:v>Escopo explode</x:v>
      </x:c>
      <x:c r="E9" s="30" t="str">
        <x:v>Gestão/PM</x:v>
      </x:c>
      <x:c r="F9" s="30" t="str">
        <x:v>Registrar custo e prazo</x:v>
      </x:c>
      <x:c r="G9" s="30"/>
      <x:c r="H9" s="30"/>
      <x:c r="I9" s="30"/>
      <x:c r="J9" s="30"/>
      <x:c r="K9" s="30"/>
    </x:row>
    <x:row r="10">
      <x:c r="A10" s="30" t="str">
        <x:v>Aceite</x:v>
      </x:c>
      <x:c r="B10" s="30" t="str">
        <x:v>DoD objetivo por módulo</x:v>
      </x:c>
      <x:c r="C10" s="30" t="str">
        <x:v>[critérios]</x:v>
      </x:c>
      <x:c r="D10" s="30" t="str">
        <x:v>Entrega subjetiva</x:v>
      </x:c>
      <x:c r="E10" s="30" t="str">
        <x:v>Arquitetura/QA</x:v>
      </x:c>
      <x:c r="F10" s="30" t="str">
        <x:v>Usar Escopo_Backlog</x:v>
      </x:c>
      <x:c r="G10" s="30"/>
      <x:c r="H10" s="30"/>
      <x:c r="I10" s="30"/>
      <x:c r="J10" s="30"/>
      <x:c r="K10" s="30"/>
    </x:row>
    <x:row r="11">
      <x:c r="A11" s="30" t="str">
        <x:v>LGPD</x:v>
      </x:c>
      <x:c r="B11" s="30" t="str">
        <x:v>Acesso mínimo, retenção e termos</x:v>
      </x:c>
      <x:c r="C11" s="30" t="str">
        <x:v>[política]</x:v>
      </x:c>
      <x:c r="D11" s="30" t="str">
        <x:v>Risco jurídico</x:v>
      </x:c>
      <x:c r="E11" s="30" t="str">
        <x:v>Arquitetura/QA</x:v>
      </x:c>
      <x:c r="F11" s="30" t="str">
        <x:v>Obrigatório para dados pessoais</x:v>
      </x:c>
      <x:c r="G11" s="30"/>
      <x:c r="H11" s="30"/>
      <x:c r="I11" s="30"/>
      <x:c r="J11" s="30"/>
      <x:c r="K11" s="30"/>
    </x:row>
    <x:row r="12">
      <x:c r="A12" s="30" t="str">
        <x:v>Confidencialidade</x:v>
      </x:c>
      <x:c r="B12" s="30" t="str">
        <x:v>NDA quando houver dados sensíveis</x:v>
      </x:c>
      <x:c r="C12" s="30" t="str">
        <x:v>[sim/não]</x:v>
      </x:c>
      <x:c r="D12" s="30" t="str">
        <x:v>Exposição comercial</x:v>
      </x:c>
      <x:c r="E12" s="30" t="str">
        <x:v>Comercial/Account</x:v>
      </x:c>
      <x:c r="F12" s="30" t="str"/>
      <x:c r="G12" s="30"/>
      <x:c r="H12" s="30"/>
      <x:c r="I12" s="30"/>
      <x:c r="J12" s="30"/>
      <x:c r="K12" s="30"/>
    </x:row>
    <x:row r="13">
      <x:c r="A13" s="30" t="str">
        <x:v>Rescisão</x:v>
      </x:c>
      <x:c r="B13" s="30" t="str">
        <x:v>Contrato mínimo + multa se aplicável</x:v>
      </x:c>
      <x:c r="C13" s="30" t="str">
        <x:v>[prazo]</x:v>
      </x:c>
      <x:c r="D13" s="30" t="str">
        <x:v>Perda de MRR</x:v>
      </x:c>
      <x:c r="E13" s="30" t="str">
        <x:v>UzzAI Empresa</x:v>
      </x:c>
      <x:c r="F13" s="30" t="str">
        <x:v>Principalmente recorrência 24/36m</x:v>
      </x:c>
      <x:c r="G13" s="30"/>
      <x:c r="H13" s="30"/>
      <x:c r="I13" s="30"/>
      <x:c r="J13" s="30"/>
      <x:c r="K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</x:row>
    <x:row r="20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</x:row>
    <x:row r="202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</x:row>
    <x:row r="203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</x:row>
    <x:row r="204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</x:row>
    <x:row r="205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</x:row>
    <x:row r="206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</x:row>
    <x:row r="207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</x:row>
    <x:row r="208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</x:row>
    <x:row r="209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</x:row>
    <x:row r="210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</x:row>
    <x:row r="21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</x:row>
    <x:row r="212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</x:row>
    <x:row r="213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</x:row>
    <x:row r="214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</x:row>
    <x:row r="215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</x:row>
    <x:row r="216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</x:row>
    <x:row r="217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</x:row>
    <x:row r="218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</x:row>
    <x:row r="219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</x:row>
    <x:row r="220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</x:row>
  </x:sheetData>
  <x:mergeCells>
    <x:mergeCell ref="A1:F1"/>
    <x:mergeCell ref="A2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8" hidden="0" customWidth="1"/>
    <x:col min="4" max="4" width="14" hidden="0" customWidth="1"/>
    <x:col min="5" max="5" width="32" hidden="0" customWidth="1"/>
    <x:col min="6" max="6" width="34" hidden="0" customWidth="1"/>
    <x:col min="7" max="7" width="36" hidden="0" customWidth="1"/>
  </x:cols>
  <x:sheetData>
    <x:row r="1" ht="30" customHeight="1">
      <x:c r="A1" s="68" t="str">
        <x:v>CRM E IMPLANTAÇÃO</x:v>
      </x:c>
      <x:c r="B1" s="68"/>
      <x:c r="C1" s="68"/>
      <x:c r="D1" s="68"/>
      <x:c r="E1" s="68"/>
      <x:c r="F1" s="68"/>
      <x:c r="G1" s="68"/>
      <x:c r="H1" s="30"/>
      <x:c r="I1" s="30"/>
      <x:c r="J1" s="30"/>
      <x:c r="K1" s="30"/>
    </x:row>
    <x:row r="2" ht="24" customHeight="1">
      <x:c r="A2" s="69" t="str">
        <x:v>Da venda ao pós-venda: próximos passos, evidências e responsáveis</x:v>
      </x:c>
      <x:c r="B2" s="69"/>
      <x:c r="C2" s="69"/>
      <x:c r="D2" s="69"/>
      <x:c r="E2" s="69"/>
      <x:c r="F2" s="69"/>
      <x:c r="G2" s="69"/>
      <x:c r="H2" s="30"/>
      <x:c r="I2" s="30"/>
      <x:c r="J2" s="30"/>
      <x:c r="K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 ht="26" customHeight="1">
      <x:c r="A4" s="26" t="str">
        <x:v>Etapa</x:v>
      </x:c>
      <x:c r="B4" s="26" t="str">
        <x:v>Owner</x:v>
      </x:c>
      <x:c r="C4" s="26" t="str">
        <x:v>Status</x:v>
      </x:c>
      <x:c r="D4" s="26" t="str">
        <x:v>Data</x:v>
      </x:c>
      <x:c r="E4" s="26" t="str">
        <x:v>Evidência</x:v>
      </x:c>
      <x:c r="F4" s="26" t="str">
        <x:v>Próxima ação</x:v>
      </x:c>
      <x:c r="G4" s="26" t="str">
        <x:v>Observação</x:v>
      </x:c>
      <x:c r="H4" s="30"/>
      <x:c r="I4" s="30"/>
      <x:c r="J4" s="30"/>
      <x:c r="K4" s="30"/>
    </x:row>
    <x:row r="5">
      <x:c r="A5" s="30" t="str">
        <x:v>Discovery</x:v>
      </x:c>
      <x:c r="B5" s="30" t="str">
        <x:v>Comercial/Account</x:v>
      </x:c>
      <x:c r="C5" s="30" t="str">
        <x:v>Concluído</x:v>
      </x:c>
      <x:c r="D5" s="96" t="n">
        <x:v>46190</x:v>
      </x:c>
      <x:c r="E5" s="30" t="str">
        <x:v>Reunião / notas</x:v>
      </x:c>
      <x:c r="F5" s="30" t="str">
        <x:v>Fechar escopo</x:v>
      </x:c>
      <x:c r="G5" s="30" t="str"/>
      <x:c r="H5" s="30"/>
      <x:c r="I5" s="30"/>
      <x:c r="J5" s="30"/>
      <x:c r="K5" s="30"/>
    </x:row>
    <x:row r="6">
      <x:c r="A6" s="30" t="str">
        <x:v>Proposta</x:v>
      </x:c>
      <x:c r="B6" s="30" t="str">
        <x:v>Comercial/Account</x:v>
      </x:c>
      <x:c r="C6" s="30" t="str">
        <x:v>Em andamento</x:v>
      </x:c>
      <x:c r="D6" s="96" t="n">
        <x:v>46194</x:v>
      </x:c>
      <x:c r="E6" s="30" t="str">
        <x:v>PDF/Excel</x:v>
      </x:c>
      <x:c r="F6" s="30" t="str">
        <x:v>Enviar ao cliente</x:v>
      </x:c>
      <x:c r="G6" s="30" t="str"/>
      <x:c r="H6" s="30"/>
      <x:c r="I6" s="30"/>
      <x:c r="J6" s="30"/>
      <x:c r="K6" s="30"/>
    </x:row>
    <x:row r="7">
      <x:c r="A7" s="30" t="str">
        <x:v>Negociação</x:v>
      </x:c>
      <x:c r="B7" s="30" t="str">
        <x:v>UzzAI Empresa</x:v>
      </x:c>
      <x:c r="C7" s="30" t="str">
        <x:v>Não iniciado</x:v>
      </x:c>
      <x:c r="D7" s="96"/>
      <x:c r="E7" s="30" t="str">
        <x:v>Histórico WhatsApp/email</x:v>
      </x:c>
      <x:c r="F7" s="30" t="str">
        <x:v>Definir modelo</x:v>
      </x:c>
      <x:c r="G7" s="30" t="str"/>
      <x:c r="H7" s="30"/>
      <x:c r="I7" s="30"/>
      <x:c r="J7" s="30"/>
      <x:c r="K7" s="30"/>
    </x:row>
    <x:row r="8">
      <x:c r="A8" s="30" t="str">
        <x:v>Contrato</x:v>
      </x:c>
      <x:c r="B8" s="30" t="str">
        <x:v>UzzAI Empresa</x:v>
      </x:c>
      <x:c r="C8" s="30" t="str">
        <x:v>Não iniciado</x:v>
      </x:c>
      <x:c r="D8" s="96"/>
      <x:c r="E8" s="30" t="str">
        <x:v>Contrato assinado</x:v>
      </x:c>
      <x:c r="F8" s="30" t="str">
        <x:v>Coletar sinal</x:v>
      </x:c>
      <x:c r="G8" s="30" t="str"/>
      <x:c r="H8" s="30"/>
      <x:c r="I8" s="30"/>
      <x:c r="J8" s="30"/>
      <x:c r="K8" s="30"/>
    </x:row>
    <x:row r="9">
      <x:c r="A9" s="30" t="str">
        <x:v>Pré-início</x:v>
      </x:c>
      <x:c r="B9" s="30" t="str">
        <x:v>Gestão/PM</x:v>
      </x:c>
      <x:c r="C9" s="30" t="str">
        <x:v>Não iniciado</x:v>
      </x:c>
      <x:c r="D9" s="96"/>
      <x:c r="E9" s="30" t="str">
        <x:v>Checklist dados/acessos</x:v>
      </x:c>
      <x:c r="F9" s="30" t="str">
        <x:v>Kickoff</x:v>
      </x:c>
      <x:c r="G9" s="30" t="str"/>
      <x:c r="H9" s="30"/>
      <x:c r="I9" s="30"/>
      <x:c r="J9" s="30"/>
      <x:c r="K9" s="30"/>
    </x:row>
    <x:row r="10">
      <x:c r="A10" s="30" t="str">
        <x:v>Desenvolvimento</x:v>
      </x:c>
      <x:c r="B10" s="30" t="str">
        <x:v>Responsável técnico</x:v>
      </x:c>
      <x:c r="C10" s="30" t="str">
        <x:v>Não iniciado</x:v>
      </x:c>
      <x:c r="D10" s="96"/>
      <x:c r="E10" s="30" t="str">
        <x:v>Staging/PRs</x:v>
      </x:c>
      <x:c r="F10" s="30" t="str">
        <x:v>Executar sprints</x:v>
      </x:c>
      <x:c r="G10" s="30" t="str"/>
      <x:c r="H10" s="30"/>
      <x:c r="I10" s="30"/>
      <x:c r="J10" s="30"/>
      <x:c r="K10" s="30"/>
    </x:row>
    <x:row r="11">
      <x:c r="A11" s="30" t="str">
        <x:v>Homologação</x:v>
      </x:c>
      <x:c r="B11" s="30" t="str">
        <x:v>Arquitetura/QA</x:v>
      </x:c>
      <x:c r="C11" s="30" t="str">
        <x:v>Não iniciado</x:v>
      </x:c>
      <x:c r="D11" s="96"/>
      <x:c r="E11" s="30" t="str">
        <x:v>Checklist aceite</x:v>
      </x:c>
      <x:c r="F11" s="30" t="str">
        <x:v>Ajustes finais</x:v>
      </x:c>
      <x:c r="G11" s="30" t="str"/>
      <x:c r="H11" s="30"/>
      <x:c r="I11" s="30"/>
      <x:c r="J11" s="30"/>
      <x:c r="K11" s="30"/>
    </x:row>
    <x:row r="12">
      <x:c r="A12" s="30" t="str">
        <x:v>Go-live</x:v>
      </x:c>
      <x:c r="B12" s="30" t="str">
        <x:v>Dev Backend/Infra</x:v>
      </x:c>
      <x:c r="C12" s="30" t="str">
        <x:v>Não iniciado</x:v>
      </x:c>
      <x:c r="D12" s="96"/>
      <x:c r="E12" s="30" t="str">
        <x:v>Produção ativa</x:v>
      </x:c>
      <x:c r="F12" s="30" t="str">
        <x:v>Treinamento</x:v>
      </x:c>
      <x:c r="G12" s="30" t="str"/>
      <x:c r="H12" s="30"/>
      <x:c r="I12" s="30"/>
      <x:c r="J12" s="30"/>
      <x:c r="K12" s="30"/>
    </x:row>
    <x:row r="13">
      <x:c r="A13" s="30" t="str">
        <x:v>Pós-venda</x:v>
      </x:c>
      <x:c r="B13" s="30" t="str">
        <x:v>Comercial/Account</x:v>
      </x:c>
      <x:c r="C13" s="30" t="str">
        <x:v>Não iniciado</x:v>
      </x:c>
      <x:c r="D13" s="96"/>
      <x:c r="E13" s="30" t="str">
        <x:v>Feedback/NPS</x:v>
      </x:c>
      <x:c r="F13" s="30" t="str">
        <x:v>Expansão</x:v>
      </x:c>
      <x:c r="G13" s="30" t="str"/>
      <x:c r="H13" s="30"/>
      <x:c r="I13" s="30"/>
      <x:c r="J13" s="30"/>
      <x:c r="K13" s="30"/>
    </x:row>
    <x:row r="14">
      <x:c r="A14" s="30"/>
      <x:c r="B14" s="30"/>
      <x:c r="C14" s="30"/>
      <x:c r="D14" s="96"/>
      <x:c r="E14" s="30"/>
      <x:c r="F14" s="30"/>
      <x:c r="G14" s="30"/>
      <x:c r="H14" s="30"/>
      <x:c r="I14" s="30"/>
      <x:c r="J14" s="30"/>
      <x:c r="K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</x:row>
    <x:row r="20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</x:row>
    <x:row r="202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</x:row>
    <x:row r="203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</x:row>
    <x:row r="204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</x:row>
    <x:row r="205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</x:row>
    <x:row r="206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</x:row>
    <x:row r="207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</x:row>
    <x:row r="208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</x:row>
    <x:row r="209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</x:row>
    <x:row r="210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</x:row>
    <x:row r="21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</x:row>
    <x:row r="212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</x:row>
    <x:row r="213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</x:row>
    <x:row r="214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</x:row>
    <x:row r="215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</x:row>
    <x:row r="216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</x:row>
    <x:row r="217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</x:row>
    <x:row r="218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</x:row>
    <x:row r="219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</x:row>
    <x:row r="220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</x:row>
  </x:sheetData>
  <x:mergeCells>
    <x:mergeCell ref="A1:G1"/>
    <x:mergeCell ref="A2:G2"/>
  </x:mergeCells>
  <x:dataValidations count="1">
    <x:dataValidation type="list" sqref="C5:C14">
      <x:formula1>Listas!$E$5:$E$11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4" hidden="0" customWidth="1"/>
    <x:col min="5" max="5" width="18" hidden="0" customWidth="1"/>
    <x:col min="6" max="6" width="14" hidden="0" customWidth="1"/>
    <x:col min="7" max="7" width="12" hidden="0" customWidth="1"/>
    <x:col min="8" max="8" width="18" hidden="0" customWidth="1"/>
    <x:col min="9" max="9" width="18" hidden="0" customWidth="1"/>
    <x:col min="10" max="10" width="24" hidden="0" customWidth="1"/>
  </x:cols>
  <x:sheetData>
    <x:row r="1" ht="30" customHeight="1">
      <x:c r="A1" s="68" t="str">
        <x:v>LISTAS E VALIDAÇÕES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30"/>
    </x:row>
    <x:row r="2" ht="24" customHeight="1">
      <x:c r="A2" s="69" t="str">
        <x:v>Edite as opções que alimentam dropdowns do template</x:v>
      </x:c>
      <x:c r="B2" s="69"/>
      <x:c r="C2" s="69"/>
      <x:c r="D2" s="69"/>
      <x:c r="E2" s="69"/>
      <x:c r="F2" s="69"/>
      <x:c r="G2" s="69"/>
      <x:c r="H2" s="69"/>
      <x:c r="I2" s="69"/>
      <x:c r="J2" s="69"/>
      <x:c r="K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 ht="26" customHeight="1">
      <x:c r="A4" s="26" t="str">
        <x:v>Propostas</x:v>
      </x:c>
      <x:c r="B4" s="26" t="str">
        <x:v>Modelos Comerciais</x:v>
      </x:c>
      <x:c r="C4" s="26" t="str">
        <x:v>Status Projeto</x:v>
      </x:c>
      <x:c r="D4" s="26" t="str">
        <x:v>Prioridade</x:v>
      </x:c>
      <x:c r="E4" s="26" t="str">
        <x:v>Status Tarefa</x:v>
      </x:c>
      <x:c r="F4" s="26" t="str">
        <x:v>Probabilidade</x:v>
      </x:c>
      <x:c r="G4" s="26" t="str">
        <x:v>Impacto</x:v>
      </x:c>
      <x:c r="H4" s="26" t="str">
        <x:v>Categoria Risco</x:v>
      </x:c>
      <x:c r="I4" s="26" t="str">
        <x:v>Tipo Item</x:v>
      </x:c>
      <x:c r="J4" s="26" t="str">
        <x:v>Papel</x:v>
      </x:c>
      <x:c r="K4" s="30"/>
    </x:row>
    <x:row r="5">
      <x:c r="A5" s="30" t="str">
        <x:v>A - MVP Enxuto</x:v>
      </x:c>
      <x:c r="B5" s="30" t="str">
        <x:v>Opção 1 - Setup + Recorrência</x:v>
      </x:c>
      <x:c r="C5" s="30" t="str">
        <x:v>Lead</x:v>
      </x:c>
      <x:c r="D5" s="30" t="str">
        <x:v>Crítica</x:v>
      </x:c>
      <x:c r="E5" s="30" t="str">
        <x:v>Não iniciado</x:v>
      </x:c>
      <x:c r="F5" s="30" t="n">
        <x:v>1</x:v>
      </x:c>
      <x:c r="G5" s="30" t="n">
        <x:v>1</x:v>
      </x:c>
      <x:c r="H5" s="30" t="str">
        <x:v>Comercial</x:v>
      </x:c>
      <x:c r="I5" s="30" t="str">
        <x:v>Funcionalidade</x:v>
      </x:c>
      <x:c r="J5" s="30" t="str">
        <x:v>Comercial/Account</x:v>
      </x:c>
      <x:c r="K5" s="30"/>
    </x:row>
    <x:row r="6">
      <x:c r="A6" s="30" t="str">
        <x:v>B - MVP Completo</x:v>
      </x:c>
      <x:c r="B6" s="30" t="str">
        <x:v>Opção 2 - Recorrência 36m</x:v>
      </x:c>
      <x:c r="C6" s="30" t="str">
        <x:v>Proposta</x:v>
      </x:c>
      <x:c r="D6" s="30" t="str">
        <x:v>Alta</x:v>
      </x:c>
      <x:c r="E6" s="30" t="str">
        <x:v>Em andamento</x:v>
      </x:c>
      <x:c r="F6" s="30" t="n">
        <x:v>2</x:v>
      </x:c>
      <x:c r="G6" s="30" t="n">
        <x:v>2</x:v>
      </x:c>
      <x:c r="H6" s="30" t="str">
        <x:v>Técnico</x:v>
      </x:c>
      <x:c r="I6" s="30" t="str">
        <x:v>Integração</x:v>
      </x:c>
      <x:c r="J6" s="30" t="str">
        <x:v>Dev Frontend/Produto</x:v>
      </x:c>
      <x:c r="K6" s="30"/>
    </x:row>
    <x:row r="7">
      <x:c r="A7" s="30" t="str">
        <x:v>C - Evolução / Add-on</x:v>
      </x:c>
      <x:c r="B7" s="30" t="str">
        <x:v>Opção 3 - Setup Único</x:v>
      </x:c>
      <x:c r="C7" s="30" t="str">
        <x:v>Negociação</x:v>
      </x:c>
      <x:c r="D7" s="30" t="str">
        <x:v>Média</x:v>
      </x:c>
      <x:c r="E7" s="30" t="str">
        <x:v>Bloqueado</x:v>
      </x:c>
      <x:c r="F7" s="30" t="n">
        <x:v>3</x:v>
      </x:c>
      <x:c r="G7" s="30" t="n">
        <x:v>3</x:v>
      </x:c>
      <x:c r="H7" s="30" t="str">
        <x:v>Financeiro</x:v>
      </x:c>
      <x:c r="I7" s="30" t="str">
        <x:v>Infra</x:v>
      </x:c>
      <x:c r="J7" s="30" t="str">
        <x:v>Dev Backend/Infra</x:v>
      </x:c>
      <x:c r="K7" s="30"/>
    </x:row>
    <x:row r="8">
      <x:c r="A8" s="30" t="str">
        <x:v>D - Custom</x:v>
      </x:c>
      <x:c r="B8" s="30" t="str">
        <x:v>Opção 4 - Híbrida</x:v>
      </x:c>
      <x:c r="C8" s="30" t="str">
        <x:v>Contrato</x:v>
      </x:c>
      <x:c r="D8" s="30" t="str">
        <x:v>Baixa</x:v>
      </x:c>
      <x:c r="E8" s="30" t="str">
        <x:v>Concluído</x:v>
      </x:c>
      <x:c r="F8" s="30" t="n">
        <x:v>4</x:v>
      </x:c>
      <x:c r="G8" s="30" t="n">
        <x:v>4</x:v>
      </x:c>
      <x:c r="H8" s="30" t="str">
        <x:v>Operacional</x:v>
      </x:c>
      <x:c r="I8" s="30" t="str">
        <x:v>IA/Automação</x:v>
      </x:c>
      <x:c r="J8" s="30" t="str">
        <x:v>Arquitetura/QA</x:v>
      </x:c>
      <x:c r="K8" s="30"/>
    </x:row>
    <x:row r="9">
      <x:c r="A9" s="30"/>
      <x:c r="B9" s="30" t="str">
        <x:v>Custom</x:v>
      </x:c>
      <x:c r="C9" s="30" t="str">
        <x:v>Desenvolvimento</x:v>
      </x:c>
      <x:c r="D9" s="30"/>
      <x:c r="E9" s="30" t="str">
        <x:v>Validado</x:v>
      </x:c>
      <x:c r="F9" s="30" t="n">
        <x:v>5</x:v>
      </x:c>
      <x:c r="G9" s="30" t="n">
        <x:v>5</x:v>
      </x:c>
      <x:c r="H9" s="30" t="str">
        <x:v>Jurídico</x:v>
      </x:c>
      <x:c r="I9" s="30" t="str">
        <x:v>Relatório</x:v>
      </x:c>
      <x:c r="J9" s="30" t="str">
        <x:v>Gestão/PM</x:v>
      </x:c>
      <x:c r="K9" s="30"/>
    </x:row>
    <x:row r="10">
      <x:c r="A10" s="30"/>
      <x:c r="B10" s="30"/>
      <x:c r="C10" s="30" t="str">
        <x:v>Homologação</x:v>
      </x:c>
      <x:c r="D10" s="30"/>
      <x:c r="E10" s="30" t="str">
        <x:v>Cancelado</x:v>
      </x:c>
      <x:c r="F10" s="30"/>
      <x:c r="G10" s="30"/>
      <x:c r="H10" s="30" t="str">
        <x:v>Adoção</x:v>
      </x:c>
      <x:c r="I10" s="30" t="str">
        <x:v>Suporte</x:v>
      </x:c>
      <x:c r="J10" s="30" t="str">
        <x:v>UzzAI Empresa</x:v>
      </x:c>
      <x:c r="K10" s="30"/>
    </x:row>
    <x:row r="11">
      <x:c r="A11" s="30"/>
      <x:c r="B11" s="30"/>
      <x:c r="C11" s="30" t="str">
        <x:v>Go-live</x:v>
      </x:c>
      <x:c r="D11" s="30"/>
      <x:c r="E11" s="30"/>
      <x:c r="F11" s="30"/>
      <x:c r="G11" s="30"/>
      <x:c r="H11" s="30" t="str">
        <x:v>Segurança/LGPD</x:v>
      </x:c>
      <x:c r="I11" s="30" t="str">
        <x:v>Contrato</x:v>
      </x:c>
      <x:c r="J11" s="30" t="str">
        <x:v>Reserva/Produto</x:v>
      </x:c>
      <x:c r="K11" s="30"/>
    </x:row>
    <x:row r="12">
      <x:c r="A12" s="30"/>
      <x:c r="B12" s="30"/>
      <x:c r="C12" s="30" t="str">
        <x:v>Pós-venda</x:v>
      </x:c>
      <x:c r="D12" s="30"/>
      <x:c r="E12" s="30"/>
      <x:c r="F12" s="30"/>
      <x:c r="G12" s="30"/>
      <x:c r="H12" s="30" t="str">
        <x:v>Escopo</x:v>
      </x:c>
      <x:c r="I12" s="30" t="str">
        <x:v>Treinamento</x:v>
      </x:c>
      <x:c r="J12" s="30"/>
      <x:c r="K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</x:row>
    <x:row r="20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</x:row>
    <x:row r="202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</x:row>
    <x:row r="203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</x:row>
    <x:row r="204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</x:row>
    <x:row r="205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</x:row>
    <x:row r="206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</x:row>
    <x:row r="207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</x:row>
    <x:row r="208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</x:row>
    <x:row r="209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</x:row>
    <x:row r="210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</x:row>
    <x:row r="21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</x:row>
    <x:row r="212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</x:row>
    <x:row r="213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</x:row>
    <x:row r="214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</x:row>
    <x:row r="215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</x:row>
    <x:row r="216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</x:row>
    <x:row r="217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</x:row>
    <x:row r="218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</x:row>
    <x:row r="219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</x:row>
    <x:row r="220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</x:row>
  </x:sheetData>
  <x:mergeCells>
    <x:mergeCell ref="A1:J1"/>
    <x:mergeCell ref="A2:J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14" hidden="0" customWidth="1"/>
    <x:col min="4" max="4" width="18" hidden="0" customWidth="1"/>
    <x:col min="5" max="5" width="24" hidden="0" customWidth="1"/>
    <x:col min="6" max="6" width="44" hidden="0" customWidth="1"/>
  </x:cols>
  <x:sheetData>
    <x:row r="1" ht="30" customHeight="1">
      <x:c r="A1" s="68" t="str">
        <x:v>FONTES, PREMISSAS E CONTROLE DE VERSÃO</x:v>
      </x:c>
      <x:c r="B1" s="68"/>
      <x:c r="C1" s="68"/>
      <x:c r="D1" s="68"/>
      <x:c r="E1" s="68"/>
      <x:c r="F1" s="68"/>
      <x:c r="G1" s="30"/>
      <x:c r="H1" s="30"/>
      <x:c r="I1" s="30"/>
      <x:c r="J1" s="30"/>
      <x:c r="K1" s="30"/>
    </x:row>
    <x:row r="2" ht="24" customHeight="1">
      <x:c r="A2" s="69" t="str">
        <x:v>Rastreabilidade das decisões comerciais e técnicas</x:v>
      </x:c>
      <x:c r="B2" s="69"/>
      <x:c r="C2" s="69"/>
      <x:c r="D2" s="69"/>
      <x:c r="E2" s="69"/>
      <x:c r="F2" s="69"/>
      <x:c r="G2" s="30"/>
      <x:c r="H2" s="30"/>
      <x:c r="I2" s="30"/>
      <x:c r="J2" s="30"/>
      <x:c r="K2" s="30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 ht="26" customHeight="1">
      <x:c r="A4" s="26" t="str">
        <x:v>Item</x:v>
      </x:c>
      <x:c r="B4" s="26" t="str">
        <x:v>Fonte / Premissa</x:v>
      </x:c>
      <x:c r="C4" s="26" t="str">
        <x:v>Data</x:v>
      </x:c>
      <x:c r="D4" s="26" t="str">
        <x:v>Responsável</x:v>
      </x:c>
      <x:c r="E4" s="26" t="str">
        <x:v>Uso</x:v>
      </x:c>
      <x:c r="F4" s="26" t="str">
        <x:v>Observação</x:v>
      </x:c>
      <x:c r="G4" s="30"/>
      <x:c r="H4" s="30"/>
      <x:c r="I4" s="30"/>
      <x:c r="J4" s="30"/>
      <x:c r="K4" s="30"/>
    </x:row>
    <x:row r="5">
      <x:c r="A5" s="30" t="str">
        <x:v>Origem do template</x:v>
      </x:c>
      <x:c r="B5" s="30" t="str">
        <x:v>Derivado do modelo Aliança Log / UzzAI</x:v>
      </x:c>
      <x:c r="C5" s="96" t="n">
        <x:v>46194</x:v>
      </x:c>
      <x:c r="D5" s="30" t="str">
        <x:v>UzzAI</x:v>
      </x:c>
      <x:c r="E5" s="30" t="str">
        <x:v>Estrutura geral</x:v>
      </x:c>
      <x:c r="F5" s="30" t="str">
        <x:v>Generalizado para outros projetos</x:v>
      </x:c>
      <x:c r="G5" s="30"/>
      <x:c r="H5" s="30"/>
      <x:c r="I5" s="30"/>
      <x:c r="J5" s="30"/>
      <x:c r="K5" s="30"/>
    </x:row>
    <x:row r="6">
      <x:c r="A6" s="30" t="str">
        <x:v>Propostas</x:v>
      </x:c>
      <x:c r="B6" s="30" t="str">
        <x:v>A/B/C/Custom são linhas-modelo editáveis</x:v>
      </x:c>
      <x:c r="C6" s="96" t="n">
        <x:v>46194</x:v>
      </x:c>
      <x:c r="D6" s="30" t="str">
        <x:v>UzzAI</x:v>
      </x:c>
      <x:c r="E6" s="30" t="str">
        <x:v>Precificação</x:v>
      </x:c>
      <x:c r="F6" s="30" t="str">
        <x:v>Não usar sem revisar custos</x:v>
      </x:c>
      <x:c r="G6" s="30"/>
      <x:c r="H6" s="30"/>
      <x:c r="I6" s="30"/>
      <x:c r="J6" s="30"/>
      <x:c r="K6" s="30"/>
    </x:row>
    <x:row r="7">
      <x:c r="A7" s="30" t="str">
        <x:v>Percentuais</x:v>
      </x:c>
      <x:c r="B7" s="30" t="str">
        <x:v>Distribuição por modelo comercial</x:v>
      </x:c>
      <x:c r="C7" s="96" t="n">
        <x:v>46194</x:v>
      </x:c>
      <x:c r="D7" s="30" t="str">
        <x:v>UzzAI</x:v>
      </x:c>
      <x:c r="E7" s="30" t="str">
        <x:v>Remuneração</x:v>
      </x:c>
      <x:c r="F7" s="30" t="str">
        <x:v>Comercial/account pode receber mesmo sem dev</x:v>
      </x:c>
      <x:c r="G7" s="30"/>
      <x:c r="H7" s="30"/>
      <x:c r="I7" s="30"/>
      <x:c r="J7" s="30"/>
      <x:c r="K7" s="30"/>
    </x:row>
    <x:row r="8">
      <x:c r="A8" s="30" t="str">
        <x:v>Custos</x:v>
      </x:c>
      <x:c r="B8" s="30" t="str">
        <x:v>Horas e valores/hora são placeholders</x:v>
      </x:c>
      <x:c r="C8" s="96" t="n">
        <x:v>46194</x:v>
      </x:c>
      <x:c r="D8" s="30" t="str">
        <x:v>UzzAI</x:v>
      </x:c>
      <x:c r="E8" s="30" t="str">
        <x:v>Margem</x:v>
      </x:c>
      <x:c r="F8" s="30" t="str">
        <x:v>Trocar por estimativas reais</x:v>
      </x:c>
      <x:c r="G8" s="30"/>
      <x:c r="H8" s="30"/>
      <x:c r="I8" s="30"/>
      <x:c r="J8" s="30"/>
      <x:c r="K8" s="30"/>
    </x:row>
    <x:row r="9">
      <x:c r="A9" s="30" t="str">
        <x:v>Contrato</x:v>
      </x:c>
      <x:c r="B9" s="30" t="str">
        <x:v>Checklist não substitui revisão jurídica</x:v>
      </x:c>
      <x:c r="C9" s="96" t="n">
        <x:v>46194</x:v>
      </x:c>
      <x:c r="D9" s="30" t="str">
        <x:v>UzzAI</x:v>
      </x:c>
      <x:c r="E9" s="30" t="str">
        <x:v>Governança</x:v>
      </x:c>
      <x:c r="F9" s="30" t="str">
        <x:v>Validar com jurídico</x:v>
      </x:c>
      <x:c r="G9" s="30"/>
      <x:c r="H9" s="30"/>
      <x:c r="I9" s="30"/>
      <x:c r="J9" s="30"/>
      <x:c r="K9" s="30"/>
    </x:row>
    <x:row r="10">
      <x:c r="A10" s="30"/>
      <x:c r="B10" s="30"/>
      <x:c r="C10" s="96"/>
      <x:c r="D10" s="30"/>
      <x:c r="E10" s="30"/>
      <x:c r="F10" s="30"/>
      <x:c r="G10" s="30"/>
      <x:c r="H10" s="30"/>
      <x:c r="I10" s="30"/>
      <x:c r="J10" s="30"/>
      <x:c r="K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</x:row>
    <x:row r="20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</x:row>
    <x:row r="202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</x:row>
    <x:row r="203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</x:row>
    <x:row r="204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</x:row>
    <x:row r="205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</x:row>
    <x:row r="206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</x:row>
    <x:row r="207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</x:row>
    <x:row r="208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</x:row>
    <x:row r="209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</x:row>
    <x:row r="210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</x:row>
    <x:row r="21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</x:row>
    <x:row r="212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</x:row>
    <x:row r="213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</x:row>
    <x:row r="214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</x:row>
    <x:row r="215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</x:row>
    <x:row r="216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</x:row>
    <x:row r="217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</x:row>
    <x:row r="218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</x:row>
    <x:row r="219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</x:row>
    <x:row r="220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</x:row>
  </x:sheetData>
  <x:mergeCells>
    <x:mergeCell ref="A1:F1"/>
    <x:mergeCell ref="A2:F2"/>
  </x:mergeCells>
  <x:pageMargins left="0.7" right="0.7" top="0.75" bottom="0.75" header="0.3" footer="0.3"/>
</x:worksheet>
</file>